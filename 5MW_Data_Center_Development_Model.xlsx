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Uses of Funds" sheetId="3" state="visible" r:id="rId3"/>
    <sheet name="Sources of Funds" sheetId="4" state="visible" r:id="rId4"/>
    <sheet name="Draw Schedule" sheetId="5" state="visible" r:id="rId5"/>
    <sheet name="Operating Model" sheetId="6" state="visible" r:id="rId6"/>
    <sheet name="Debt Schedule" sheetId="7" state="visible" r:id="rId7"/>
    <sheet name="Returns" sheetId="8" state="visible" r:id="rId8"/>
    <sheet name="Sensitivities" sheetId="9" state="visible" r:id="rId9"/>
  </sheets>
  <definedNames>
    <definedName name="MW_IT">Assumptions!$D$5</definedName>
    <definedName name="KW_IT">Assumptions!$D$6</definedName>
    <definedName name="PUE">Assumptions!$D$7</definedName>
    <definedName name="CaseNo">Assumptions!$D$9</definedName>
    <definedName name="ConstrMonths">Assumptions!$D$10</definedName>
    <definedName name="OpsMonthsY2">Assumptions!$D$11</definedName>
    <definedName name="ModCostPerMW">Assumptions!$D$14</definedName>
    <definedName name="LiquidPrem">Assumptions!$D$15</definedName>
    <definedName name="ModuleScope">Assumptions!$D$16</definedName>
    <definedName name="RatePerKw">Assumptions!$D$19</definedName>
    <definedName name="RentEscal">Assumptions!$D$20</definedName>
    <definedName name="LeaseTermYrs">Assumptions!$D$21</definedName>
    <definedName name="VacancyPct">Assumptions!$D$22</definedName>
    <definedName name="MgmtFeePct">Assumptions!$D$23</definedName>
    <definedName name="Insurance">Assumptions!$D$24</definedName>
    <definedName name="CapReservePerKw">Assumptions!$D$25</definedName>
    <definedName name="LandlordGA">Assumptions!$D$26</definedName>
    <definedName name="OpexEscal">Assumptions!$D$27</definedName>
    <definedName name="LTC">Assumptions!$D$30</definedName>
    <definedName name="SOFR">Assumptions!$D$31</definedName>
    <definedName name="SnrRate">Assumptions!$D$33</definedName>
    <definedName name="OrigFee">Assumptions!$D$34</definedName>
    <definedName name="SnrTerm">Assumptions!$D$35</definedName>
    <definedName name="MidPeriod">Assumptions!$D$36</definedName>
    <definedName name="PacePct">Assumptions!$D$39</definedName>
    <definedName name="PaceRate">Assumptions!$D$40</definedName>
    <definedName name="PaceAmortYrs">Assumptions!$D$41</definedName>
    <definedName name="StabCapRate">Assumptions!$D$44</definedName>
    <definedName name="PermLTV">Assumptions!$D$45</definedName>
    <definedName name="PermLTC">Assumptions!$D$46</definedName>
    <definedName name="MinDSCR">Assumptions!$D$47</definedName>
    <definedName name="PermRate">Assumptions!$D$48</definedName>
    <definedName name="PermAmortYrs">Assumptions!$D$49</definedName>
    <definedName name="RefiFeePct">Assumptions!$D$50</definedName>
    <definedName name="ExitCapRate">Assumptions!$D$53</definedName>
    <definedName name="SellCostPct">Assumptions!$D$54</definedName>
    <definedName name="TargetSpread">Assumptions!$D$55</definedName>
    <definedName name="LPShare">Assumptions!$D$56</definedName>
    <definedName name="GPShare">Assumptions!$D$57</definedName>
    <definedName name="PrefReturn">Assumptions!$D$58</definedName>
    <definedName name="Hurdle2">Assumptions!$D$59</definedName>
    <definedName name="Promote2">Assumptions!$D$60</definedName>
    <definedName name="Promote3">Assumptions!$D$61</definedName>
    <definedName name="EqpAdvance">Assumptions!$D$64</definedName>
    <definedName name="EqpRate">Assumptions!$D$65</definedName>
    <definedName name="EqpIdcPct">Assumptions!$D$66</definedName>
    <definedName name="LTC_B">Assumptions!$D$67</definedName>
    <definedName name="SpreadB">Assumptions!$D$68</definedName>
    <definedName name="PCBF">'Uses of Funds'!$H$26</definedName>
    <definedName name="TotalProjectCost">'Uses of Funds'!$H$34</definedName>
    <definedName name="LowCaseTPC">'Uses of Funds'!$D$34</definedName>
    <definedName name="HighCaseTPC">'Uses of Funds'!$F$34</definedName>
    <definedName name="SelModules">'Uses of Funds'!$H$12</definedName>
    <definedName name="SelSnrFee">'Uses of Funds'!$H$29</definedName>
    <definedName name="SelIdcSenior">'Uses of Funds'!$H$30</definedName>
    <definedName name="SelIdcPace">'Uses of Funds'!$H$31</definedName>
    <definedName name="SelContPct">'Uses of Funds'!$H$22</definedName>
    <definedName name="SelModEsc">'Uses of Funds'!$H$11</definedName>
    <definedName name="SelLand">'Uses of Funds'!$H$6</definedName>
    <definedName name="SnrCommitment">'Sources of Funds'!$D$10</definedName>
    <definedName name="PaceCommitment">'Sources of Funds'!$D$15</definedName>
    <definedName name="TotalEquityA">'Sources of Funds'!$D$26</definedName>
    <definedName name="EquityB">'Sources of Funds'!$H$26</definedName>
    <definedName name="RealPropertyCost">'Sources of Funds'!$D$41</definedName>
    <definedName name="BlendedDebtCostA">'Sources of Funds'!$D$39</definedName>
    <definedName name="BlendedDebtCostB">'Sources of Funds'!$D$40</definedName>
    <definedName name="SourcesCheck">'Sources of Funds'!$D$29</definedName>
    <definedName name="IdcFactorSnr">'Draw Schedule'!$D$34</definedName>
    <definedName name="IdcFactorPace">'Draw Schedule'!$D$35</definedName>
    <definedName name="SnrBalM0">'Draw Schedule'!$D$36</definedName>
    <definedName name="SnrBalM12">'Draw Schedule'!$D$37</definedName>
    <definedName name="SnrBalM24">'Draw Schedule'!$D$38</definedName>
    <definedName name="PaceBalM0">'Draw Schedule'!$D$39</definedName>
    <definedName name="PaceBalM12">'Draw Schedule'!$D$40</definedName>
    <definedName name="PaceBalM24">'Draw Schedule'!$D$41</definedName>
    <definedName name="CurveCheck">'Draw Schedule'!$D$45</definedName>
    <definedName name="DrawCheck">'Draw Schedule'!$D$46</definedName>
    <definedName name="SnrCheck">'Draw Schedule'!$D$47</definedName>
    <definedName name="PaceCheck">'Draw Schedule'!$D$48</definedName>
    <definedName name="FundCheck">'Draw Schedule'!$D$49</definedName>
    <definedName name="StabilisedNOI">'Operating Model'!$G$24</definedName>
    <definedName name="PermLoan">'Debt Schedule'!$D$21</definedName>
    <definedName name="PermConstant">'Debt Schedule'!$D$17</definedName>
    <definedName name="PaceConstant">'Debt Schedule'!$D$16</definedName>
    <definedName name="BindingConstraint">'Debt Schedule'!$D$22</definedName>
    <definedName name="StabDSCR">'Debt Schedule'!$G$48</definedName>
    <definedName name="StabDebtYield">'Debt Schedule'!$G$49</definedName>
    <definedName name="UnleveredIRR">'Returns'!$D$12</definedName>
    <definedName name="UnleveredMultiple">'Returns'!$D$13</definedName>
    <definedName name="LeveredIRR">'Returns'!$D$30</definedName>
    <definedName name="LeveredMultiple">'Returns'!$D$31</definedName>
    <definedName name="LP_IRR">'Returns'!$D$68</definedName>
    <definedName name="LP_Multiple">'Returns'!$D$69</definedName>
    <definedName name="GP_Profit">'Returns'!$D$73</definedName>
    <definedName name="WaterfallCheck">'Returns'!$D$79</definedName>
    <definedName name="SplitCheck">'Returns'!$D$78</definedName>
    <definedName name="NoiCheck">'Sensitivities'!$D$7</definedName>
  </definedNames>
  <calcPr calcId="124519" fullCalcOnLoad="1"/>
</workbook>
</file>

<file path=xl/styles.xml><?xml version="1.0" encoding="utf-8"?>
<styleSheet xmlns="http://schemas.openxmlformats.org/spreadsheetml/2006/main">
  <numFmts count="13">
    <numFmt numFmtId="164" formatCode="#,##0.0"/>
    <numFmt numFmtId="165" formatCode="#,##0;(#,##0);&quot;-&quot;"/>
    <numFmt numFmtId="166" formatCode="0.00&quot;x&quot;"/>
    <numFmt numFmtId="167" formatCode="0&quot; mo&quot;"/>
    <numFmt numFmtId="168" formatCode="$#,##0;($#,##0);-"/>
    <numFmt numFmtId="169" formatCode="0.0%;(0.0%);-"/>
    <numFmt numFmtId="170" formatCode="&quot;$&quot;#,##0.00;&quot;$&quot;(0.00);&quot;-&quot;"/>
    <numFmt numFmtId="171" formatCode="0&quot; yrs&quot;"/>
    <numFmt numFmtId="172" formatCode="0.00%;(0.00%);-"/>
    <numFmt numFmtId="173" formatCode="&quot;M&quot;0"/>
    <numFmt numFmtId="174" formatCode="&quot;Year &quot;0"/>
    <numFmt numFmtId="175" formatCode="0.0&quot;x&quot;"/>
    <numFmt numFmtId="176" formatCode="#,##0&quot; bps&quot;;(#,##0)&quot; bps&quot;;-"/>
  </numFmts>
  <fonts count="9">
    <font>
      <name val="Calibri"/>
      <family val="2"/>
      <color theme="1"/>
      <sz val="11"/>
      <scheme val="minor"/>
    </font>
    <font>
      <name val="Calibri"/>
      <b val="1"/>
      <color rgb="FFFFFFFF"/>
      <sz val="10"/>
    </font>
    <font>
      <name val="Calibri"/>
      <i val="1"/>
      <color rgb="FF9AA0A8"/>
      <sz val="10"/>
    </font>
    <font>
      <name val="Calibri"/>
      <b val="1"/>
      <color rgb="FF000000"/>
      <sz val="10"/>
    </font>
    <font>
      <name val="Calibri"/>
      <color rgb="FF000000"/>
      <sz val="10"/>
    </font>
    <font>
      <name val="Calibri"/>
      <color rgb="FF008000"/>
      <sz val="10"/>
    </font>
    <font>
      <name val="Calibri"/>
      <color rgb="FF9AA0A8"/>
      <sz val="10"/>
    </font>
    <font>
      <name val="Calibri"/>
      <i val="1"/>
      <color rgb="FF000000"/>
      <sz val="10"/>
    </font>
    <font>
      <name val="Calibri"/>
      <color rgb="FF0000FF"/>
      <sz val="10"/>
    </font>
  </fonts>
  <fills count="5">
    <fill>
      <patternFill/>
    </fill>
    <fill>
      <patternFill patternType="gray125"/>
    </fill>
    <fill>
      <patternFill patternType="solid">
        <fgColor rgb="000F2F51"/>
      </patternFill>
    </fill>
    <fill>
      <patternFill patternType="solid">
        <fgColor rgb="00D9E1F2"/>
      </patternFill>
    </fill>
    <fill>
      <patternFill patternType="solid">
        <fgColor rgb="00F2F2F2"/>
      </patternFill>
    </fill>
  </fills>
  <borders count="4">
    <border>
      <left/>
      <right/>
      <top/>
      <bottom/>
      <diagonal/>
    </border>
    <border>
      <left style="dotted">
        <color rgb="FF808080"/>
      </left>
      <right style="dotted">
        <color rgb="FF808080"/>
      </right>
      <top style="dotted">
        <color rgb="FF808080"/>
      </top>
      <bottom style="dotted">
        <color rgb="FF808080"/>
      </bottom>
    </border>
    <border>
      <top style="thin">
        <color rgb="FF000000"/>
      </top>
    </border>
    <border>
      <left style="dashed">
        <color rgb="FF000000"/>
      </left>
      <right style="dashed">
        <color rgb="FF000000"/>
      </right>
      <top style="dashed">
        <color rgb="FF000000"/>
      </top>
      <bottom style="dashed">
        <color rgb="FF000000"/>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horizontal="left" vertical="center"/>
    </xf>
    <xf numFmtId="0" fontId="1" fillId="2" borderId="0" pivotButton="0" quotePrefix="0" xfId="0"/>
    <xf numFmtId="0" fontId="2" fillId="0" borderId="0" applyAlignment="1" pivotButton="0" quotePrefix="0" xfId="0">
      <alignment horizontal="left"/>
    </xf>
    <xf numFmtId="0" fontId="3" fillId="3" borderId="0" applyAlignment="1" pivotButton="0" quotePrefix="0" xfId="0">
      <alignment horizontal="left"/>
    </xf>
    <xf numFmtId="0" fontId="3" fillId="3" borderId="0" pivotButton="0" quotePrefix="0" xfId="0"/>
    <xf numFmtId="0" fontId="4" fillId="4" borderId="0" applyAlignment="1" pivotButton="0" quotePrefix="0" xfId="0">
      <alignment horizontal="left" indent="1"/>
    </xf>
    <xf numFmtId="0" fontId="0" fillId="4" borderId="0" pivotButton="0" quotePrefix="0" xfId="0"/>
    <xf numFmtId="164" fontId="8" fillId="4" borderId="0" applyAlignment="1" pivotButton="0" quotePrefix="0" xfId="0">
      <alignment horizontal="right"/>
    </xf>
    <xf numFmtId="0" fontId="4" fillId="0" borderId="0" applyAlignment="1" pivotButton="0" quotePrefix="0" xfId="0">
      <alignment horizontal="left" indent="1"/>
    </xf>
    <xf numFmtId="164" fontId="4" fillId="0" borderId="0" applyAlignment="1" pivotButton="0" quotePrefix="0" xfId="0">
      <alignment horizontal="right"/>
    </xf>
    <xf numFmtId="49" fontId="4" fillId="4" borderId="0" applyAlignment="1" pivotButton="0" quotePrefix="0" xfId="0">
      <alignment horizontal="right"/>
    </xf>
    <xf numFmtId="167" fontId="8" fillId="0" borderId="0" applyAlignment="1" pivotButton="0" quotePrefix="0" xfId="0">
      <alignment horizontal="right"/>
    </xf>
    <xf numFmtId="168" fontId="8" fillId="4" borderId="0" applyAlignment="1" pivotButton="0" quotePrefix="0" xfId="0">
      <alignment horizontal="right"/>
    </xf>
    <xf numFmtId="168" fontId="8" fillId="0" borderId="0" applyAlignment="1" pivotButton="0" quotePrefix="0" xfId="0">
      <alignment horizontal="right"/>
    </xf>
    <xf numFmtId="168" fontId="4" fillId="4" borderId="0" applyAlignment="1" pivotButton="0" quotePrefix="0" xfId="0">
      <alignment horizontal="right"/>
    </xf>
    <xf numFmtId="0" fontId="3" fillId="0" borderId="0" applyAlignment="1" pivotButton="0" quotePrefix="0" xfId="0">
      <alignment horizontal="left" indent="1"/>
    </xf>
    <xf numFmtId="168" fontId="8" fillId="3" borderId="0" applyAlignment="1" pivotButton="0" quotePrefix="0" xfId="0">
      <alignment horizontal="right"/>
    </xf>
    <xf numFmtId="0" fontId="3" fillId="4" borderId="0" applyAlignment="1" pivotButton="0" quotePrefix="0" xfId="0">
      <alignment horizontal="left" indent="1"/>
    </xf>
    <xf numFmtId="168" fontId="3" fillId="4" borderId="0" applyAlignment="1" pivotButton="0" quotePrefix="0" xfId="0">
      <alignment horizontal="right"/>
    </xf>
    <xf numFmtId="168" fontId="4" fillId="0" borderId="0" applyAlignment="1" pivotButton="0" quotePrefix="0" xfId="0">
      <alignment horizontal="right"/>
    </xf>
    <xf numFmtId="169" fontId="3" fillId="4" borderId="0" applyAlignment="1" pivotButton="0" quotePrefix="0" xfId="0">
      <alignment horizontal="right"/>
    </xf>
    <xf numFmtId="172" fontId="8" fillId="0" borderId="0" applyAlignment="1" pivotButton="0" quotePrefix="0" xfId="0">
      <alignment horizontal="right"/>
    </xf>
    <xf numFmtId="168" fontId="3" fillId="0" borderId="0" applyAlignment="1" pivotButton="0" quotePrefix="0" xfId="0">
      <alignment horizontal="right"/>
    </xf>
    <xf numFmtId="170" fontId="8" fillId="4" borderId="0" applyAlignment="1" pivotButton="0" quotePrefix="0" xfId="0">
      <alignment horizontal="right"/>
    </xf>
    <xf numFmtId="170" fontId="4" fillId="4" borderId="0" applyAlignment="1" pivotButton="0" quotePrefix="0" xfId="0">
      <alignment horizontal="right"/>
    </xf>
    <xf numFmtId="169" fontId="3" fillId="3" borderId="0" applyAlignment="1" pivotButton="0" quotePrefix="0" xfId="0">
      <alignment horizontal="right"/>
    </xf>
    <xf numFmtId="176" fontId="3" fillId="4" borderId="0" applyAlignment="1" pivotButton="0" quotePrefix="0" xfId="0">
      <alignment horizontal="right"/>
    </xf>
    <xf numFmtId="169" fontId="4" fillId="4" borderId="0" applyAlignment="1" pivotButton="0" quotePrefix="0" xfId="0">
      <alignment horizontal="right"/>
    </xf>
    <xf numFmtId="49" fontId="8" fillId="0" borderId="0" applyAlignment="1" pivotButton="0" quotePrefix="0" xfId="0">
      <alignment horizontal="right"/>
    </xf>
    <xf numFmtId="166" fontId="8" fillId="4" borderId="0" applyAlignment="1" pivotButton="0" quotePrefix="0" xfId="0">
      <alignment horizontal="right"/>
    </xf>
    <xf numFmtId="169" fontId="8" fillId="0" borderId="0" applyAlignment="1" pivotButton="0" quotePrefix="0" xfId="0">
      <alignment horizontal="right"/>
    </xf>
    <xf numFmtId="176" fontId="3" fillId="0" borderId="0" applyAlignment="1" pivotButton="0" quotePrefix="0" xfId="0">
      <alignment horizontal="right"/>
    </xf>
    <xf numFmtId="49" fontId="3" fillId="0" borderId="0" applyAlignment="1" pivotButton="0" quotePrefix="0" xfId="0">
      <alignment horizontal="left" wrapText="1"/>
    </xf>
    <xf numFmtId="175" fontId="3" fillId="4" borderId="0" applyAlignment="1" pivotButton="0" quotePrefix="0" xfId="0">
      <alignment horizontal="right"/>
    </xf>
    <xf numFmtId="170" fontId="3" fillId="0" borderId="0" applyAlignment="1" pivotButton="0" quotePrefix="0" xfId="0">
      <alignment horizontal="right"/>
    </xf>
    <xf numFmtId="175" fontId="8" fillId="4" borderId="0" applyAlignment="1" pivotButton="0" quotePrefix="0" xfId="0">
      <alignment horizontal="right"/>
    </xf>
    <xf numFmtId="169" fontId="8" fillId="3" borderId="0" applyAlignment="1" pivotButton="0" quotePrefix="0" xfId="0">
      <alignment horizontal="right"/>
    </xf>
    <xf numFmtId="49" fontId="3" fillId="4" borderId="0" applyAlignment="1" pivotButton="0" quotePrefix="0" xfId="0">
      <alignment horizontal="left"/>
    </xf>
    <xf numFmtId="170" fontId="4" fillId="0" borderId="0" applyAlignment="1" pivotButton="0" quotePrefix="0" xfId="0">
      <alignment horizontal="right"/>
    </xf>
    <xf numFmtId="49" fontId="3" fillId="0" borderId="0" applyAlignment="1" pivotButton="0" quotePrefix="0" xfId="0">
      <alignment horizontal="left"/>
    </xf>
    <xf numFmtId="170" fontId="8" fillId="0" borderId="0" applyAlignment="1" pivotButton="0" quotePrefix="0" xfId="0">
      <alignment horizontal="right"/>
    </xf>
    <xf numFmtId="0" fontId="4" fillId="0" borderId="0" applyAlignment="1" pivotButton="0" quotePrefix="0" xfId="0">
      <alignment horizontal="left" vertical="top" wrapText="1"/>
    </xf>
    <xf numFmtId="0" fontId="7" fillId="0" borderId="0" applyAlignment="1" pivotButton="0" quotePrefix="0" xfId="0">
      <alignment horizontal="left" vertical="top" wrapText="1"/>
    </xf>
    <xf numFmtId="164" fontId="5" fillId="0" borderId="1" applyAlignment="1" pivotButton="0" quotePrefix="0" xfId="0">
      <alignment horizontal="right"/>
    </xf>
    <xf numFmtId="165" fontId="4" fillId="0" borderId="0" applyAlignment="1" pivotButton="0" quotePrefix="0" xfId="0">
      <alignment horizontal="right"/>
    </xf>
    <xf numFmtId="166" fontId="5" fillId="0" borderId="1" applyAlignment="1" pivotButton="0" quotePrefix="0" xfId="0">
      <alignment horizontal="right"/>
    </xf>
    <xf numFmtId="1" fontId="5" fillId="0" borderId="1" applyAlignment="1" pivotButton="0" quotePrefix="0" xfId="0">
      <alignment horizontal="right"/>
    </xf>
    <xf numFmtId="167" fontId="5" fillId="0" borderId="1" applyAlignment="1" pivotButton="0" quotePrefix="0" xfId="0">
      <alignment horizontal="right"/>
    </xf>
    <xf numFmtId="168" fontId="5" fillId="0" borderId="1" applyAlignment="1" pivotButton="0" quotePrefix="0" xfId="0">
      <alignment horizontal="right"/>
    </xf>
    <xf numFmtId="169" fontId="5" fillId="0" borderId="1" applyAlignment="1" pivotButton="0" quotePrefix="0" xfId="0">
      <alignment horizontal="right"/>
    </xf>
    <xf numFmtId="170" fontId="5" fillId="0" borderId="1" applyAlignment="1" pivotButton="0" quotePrefix="0" xfId="0">
      <alignment horizontal="right"/>
    </xf>
    <xf numFmtId="171" fontId="5" fillId="0" borderId="1" applyAlignment="1" pivotButton="0" quotePrefix="0" xfId="0">
      <alignment horizontal="right"/>
    </xf>
    <xf numFmtId="172" fontId="5" fillId="0" borderId="1" applyAlignment="1" pivotButton="0" quotePrefix="0" xfId="0">
      <alignment horizontal="right"/>
    </xf>
    <xf numFmtId="3" fontId="5" fillId="0" borderId="1" applyAlignment="1" pivotButton="0" quotePrefix="0" xfId="0">
      <alignment horizontal="right"/>
    </xf>
    <xf numFmtId="172" fontId="3" fillId="0" borderId="0" applyAlignment="1" pivotButton="0" quotePrefix="0" xfId="0">
      <alignment horizontal="right"/>
    </xf>
    <xf numFmtId="0" fontId="1" fillId="2" borderId="0" applyAlignment="1" pivotButton="0" quotePrefix="0" xfId="0">
      <alignment horizontal="center" vertical="center" wrapText="1"/>
    </xf>
    <xf numFmtId="169" fontId="4" fillId="0" borderId="0" applyAlignment="1" pivotButton="0" quotePrefix="0" xfId="0">
      <alignment horizontal="right"/>
    </xf>
    <xf numFmtId="168" fontId="5" fillId="4" borderId="1" applyAlignment="1" pivotButton="0" quotePrefix="0" xfId="0">
      <alignment horizontal="right"/>
    </xf>
    <xf numFmtId="169" fontId="5" fillId="4" borderId="1" applyAlignment="1" pivotButton="0" quotePrefix="0" xfId="0">
      <alignment horizontal="right"/>
    </xf>
    <xf numFmtId="0" fontId="3" fillId="0" borderId="2" applyAlignment="1" pivotButton="0" quotePrefix="0" xfId="0">
      <alignment horizontal="left"/>
    </xf>
    <xf numFmtId="0" fontId="3" fillId="0" borderId="2" pivotButton="0" quotePrefix="0" xfId="0"/>
    <xf numFmtId="168" fontId="3" fillId="0" borderId="2" applyAlignment="1" pivotButton="0" quotePrefix="0" xfId="0">
      <alignment horizontal="right"/>
    </xf>
    <xf numFmtId="169" fontId="3" fillId="0" borderId="2" applyAlignment="1" pivotButton="0" quotePrefix="0" xfId="0">
      <alignment horizontal="right"/>
    </xf>
    <xf numFmtId="0" fontId="1" fillId="2" borderId="0" applyAlignment="1" pivotButton="0" quotePrefix="0" xfId="0">
      <alignment horizontal="left"/>
    </xf>
    <xf numFmtId="168" fontId="1" fillId="2" borderId="0" applyAlignment="1" pivotButton="0" quotePrefix="0" xfId="0">
      <alignment horizontal="right"/>
    </xf>
    <xf numFmtId="169" fontId="1" fillId="2" borderId="0" applyAlignment="1" pivotButton="0" quotePrefix="0" xfId="0">
      <alignment horizontal="right"/>
    </xf>
    <xf numFmtId="0" fontId="3" fillId="3" borderId="0" applyAlignment="1" pivotButton="0" quotePrefix="0" xfId="0">
      <alignment horizontal="centerContinuous"/>
    </xf>
    <xf numFmtId="0" fontId="4" fillId="4" borderId="0" applyAlignment="1" pivotButton="0" quotePrefix="0" xfId="0">
      <alignment horizontal="center"/>
    </xf>
    <xf numFmtId="0" fontId="4" fillId="0" borderId="0" applyAlignment="1" pivotButton="0" quotePrefix="0" xfId="0">
      <alignment horizontal="center"/>
    </xf>
    <xf numFmtId="0" fontId="6" fillId="4" borderId="0" applyAlignment="1" pivotButton="0" quotePrefix="0" xfId="0">
      <alignment horizontal="center"/>
    </xf>
    <xf numFmtId="0" fontId="6" fillId="0" borderId="0" applyAlignment="1" pivotButton="0" quotePrefix="0" xfId="0">
      <alignment horizontal="center"/>
    </xf>
    <xf numFmtId="0" fontId="7" fillId="0" borderId="0" applyAlignment="1" pivotButton="0" quotePrefix="0" xfId="0">
      <alignment horizontal="left"/>
    </xf>
    <xf numFmtId="172" fontId="4" fillId="0" borderId="0" applyAlignment="1" pivotButton="0" quotePrefix="0" xfId="0">
      <alignment horizontal="right"/>
    </xf>
    <xf numFmtId="173" fontId="1" fillId="2" borderId="0" applyAlignment="1" pivotButton="0" quotePrefix="0" xfId="0">
      <alignment horizontal="center" vertical="center" wrapText="1"/>
    </xf>
    <xf numFmtId="0" fontId="3" fillId="0" borderId="2" applyAlignment="1" pivotButton="0" quotePrefix="0" xfId="0">
      <alignment horizontal="left" indent="1"/>
    </xf>
    <xf numFmtId="172" fontId="4" fillId="4" borderId="0" applyAlignment="1" pivotButton="0" quotePrefix="0" xfId="0">
      <alignment horizontal="right"/>
    </xf>
    <xf numFmtId="174" fontId="3" fillId="0" borderId="0" applyAlignment="1" pivotButton="0" quotePrefix="0" xfId="0">
      <alignment horizontal="right"/>
    </xf>
    <xf numFmtId="174" fontId="1" fillId="2" borderId="0" applyAlignment="1" pivotButton="0" quotePrefix="0" xfId="0">
      <alignment horizontal="center" vertical="center" wrapText="1"/>
    </xf>
    <xf numFmtId="166" fontId="4" fillId="4" borderId="0" applyAlignment="1" pivotButton="0" quotePrefix="0" xfId="0">
      <alignment horizontal="right"/>
    </xf>
    <xf numFmtId="0" fontId="0" fillId="0" borderId="2" pivotButton="0" quotePrefix="0" xfId="0"/>
    <xf numFmtId="0" fontId="1" fillId="2" borderId="0" applyAlignment="1" pivotButton="0" quotePrefix="0" xfId="0">
      <alignment horizontal="left" indent="1"/>
    </xf>
    <xf numFmtId="168" fontId="3" fillId="3" borderId="0" applyAlignment="1" pivotButton="0" quotePrefix="0" xfId="0">
      <alignment horizontal="right"/>
    </xf>
    <xf numFmtId="49" fontId="4" fillId="0" borderId="0" applyAlignment="1" pivotButton="0" quotePrefix="0" xfId="0">
      <alignment horizontal="right"/>
    </xf>
    <xf numFmtId="168" fontId="8" fillId="0" borderId="2" applyAlignment="1" pivotButton="0" quotePrefix="0" xfId="0">
      <alignment horizontal="right"/>
    </xf>
    <xf numFmtId="166" fontId="4" fillId="0" borderId="0" applyAlignment="1" pivotButton="0" quotePrefix="0" xfId="0">
      <alignment horizontal="right"/>
    </xf>
    <xf numFmtId="175" fontId="4" fillId="4" borderId="0" applyAlignment="1" pivotButton="0" quotePrefix="0" xfId="0">
      <alignment horizontal="right"/>
    </xf>
    <xf numFmtId="175" fontId="4" fillId="0" borderId="0" applyAlignment="1" pivotButton="0" quotePrefix="0" xfId="0">
      <alignment horizontal="right"/>
    </xf>
    <xf numFmtId="4" fontId="4" fillId="0" borderId="0" applyAlignment="1" pivotButton="0" quotePrefix="0" xfId="0">
      <alignment horizontal="right"/>
    </xf>
    <xf numFmtId="0" fontId="0" fillId="2" borderId="0" pivotButton="0" quotePrefix="0" xfId="0"/>
    <xf numFmtId="168" fontId="1" fillId="2" borderId="0" applyAlignment="1" pivotButton="0" quotePrefix="0" xfId="0">
      <alignment horizontal="center"/>
    </xf>
    <xf numFmtId="170" fontId="3" fillId="4" borderId="0" applyAlignment="1" pivotButton="0" quotePrefix="0" xfId="0">
      <alignment horizontal="center"/>
    </xf>
    <xf numFmtId="169" fontId="4" fillId="0" borderId="0" applyAlignment="1" pivotButton="0" quotePrefix="0" xfId="0">
      <alignment horizontal="center"/>
    </xf>
    <xf numFmtId="169" fontId="4" fillId="0" borderId="3" applyAlignment="1" pivotButton="0" quotePrefix="0" xfId="0">
      <alignment horizontal="center"/>
    </xf>
    <xf numFmtId="172" fontId="1" fillId="2" borderId="0" applyAlignment="1" pivotButton="0" quotePrefix="0" xfId="0">
      <alignment horizontal="center"/>
    </xf>
    <xf numFmtId="168" fontId="4" fillId="0" borderId="0" applyAlignment="1" pivotButton="0" quotePrefix="0" xfId="0">
      <alignment horizontal="center"/>
    </xf>
    <xf numFmtId="168" fontId="4" fillId="0" borderId="3" applyAlignment="1" pivotButton="0" quotePrefix="0" xfId="0">
      <alignment horizontal="center"/>
    </xf>
    <xf numFmtId="176" fontId="4" fillId="0" borderId="0" applyAlignment="1" pivotButton="0" quotePrefix="0" xfId="0">
      <alignment horizontal="center"/>
    </xf>
    <xf numFmtId="176" fontId="4" fillId="0" borderId="3" applyAlignment="1" pivotButton="0" quotePrefix="0" xfId="0">
      <alignment horizontal="center"/>
    </xf>
    <xf numFmtId="168" fontId="3" fillId="4" borderId="0" applyAlignment="1" pivotButton="0" quotePrefix="0" xfId="0">
      <alignment horizontal="center"/>
    </xf>
    <xf numFmtId="169"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showGridLines="0" workbookViewId="0">
      <selection activeCell="A1" sqref="A1"/>
    </sheetView>
  </sheetViews>
  <sheetFormatPr baseColWidth="8" defaultRowHeight="15"/>
  <cols>
    <col width="2.4" customWidth="1" min="1" max="1"/>
    <col width="50" customWidth="1" min="2" max="2"/>
    <col width="1.5" customWidth="1" min="3" max="3"/>
    <col width="17" customWidth="1" min="4" max="4"/>
    <col width="2" customWidth="1" min="5" max="5"/>
    <col width="50" customWidth="1" min="6" max="6"/>
    <col width="1.5" customWidth="1" min="7" max="7"/>
    <col width="17" customWidth="1" min="8" max="8"/>
  </cols>
  <sheetData>
    <row r="1" ht="20" customHeight="1">
      <c r="B1" s="1" t="inlineStr">
        <is>
          <t>5 MW MODULAR DATA CENTER   |   DEVELOPMENT AND FINANCING MODEL</t>
        </is>
      </c>
      <c r="C1" s="2" t="n"/>
      <c r="D1" s="2" t="n"/>
      <c r="E1" s="2" t="n"/>
      <c r="F1" s="2" t="n"/>
      <c r="G1" s="2" t="n"/>
      <c r="H1" s="2" t="n"/>
    </row>
    <row r="2">
      <c r="B2" s="3" t="inlineStr">
        <is>
          <t>Powered industrial site acquisition, modular delivery at the OEM quote, triple net wholesale lease and a ten year stabilised hold. All figures are driven by the Assumptions tab.</t>
        </is>
      </c>
    </row>
    <row r="3"/>
    <row r="4">
      <c r="B4" s="4" t="inlineStr">
        <is>
          <t>PROJECT SNAPSHOT</t>
        </is>
      </c>
      <c r="C4" s="5" t="n"/>
      <c r="D4" s="5" t="n"/>
    </row>
    <row r="5">
      <c r="B5" s="6" t="inlineStr">
        <is>
          <t>Critical IT Load (MW)</t>
        </is>
      </c>
      <c r="C5" s="7" t="n"/>
      <c r="D5" s="8">
        <f>MW_IT</f>
        <v/>
      </c>
    </row>
    <row r="6">
      <c r="B6" s="9" t="inlineStr">
        <is>
          <t>Gross Utility Demand at the Design PUE (MW)</t>
        </is>
      </c>
      <c r="D6" s="10">
        <f>MW_IT*PUE</f>
        <v/>
      </c>
    </row>
    <row r="7">
      <c r="B7" s="6" t="inlineStr">
        <is>
          <t>Cost Case Selected</t>
        </is>
      </c>
      <c r="C7" s="7" t="n"/>
      <c r="D7" s="11">
        <f>CHOOSE(CaseNo,"Low","Base","High")</f>
        <v/>
      </c>
    </row>
    <row r="8">
      <c r="B8" s="9" t="inlineStr">
        <is>
          <t>Construction Period</t>
        </is>
      </c>
      <c r="D8" s="12">
        <f>ConstrMonths</f>
        <v/>
      </c>
    </row>
    <row r="9">
      <c r="B9" s="6" t="inlineStr">
        <is>
          <t>Module Cost per MW, OEM Quote</t>
        </is>
      </c>
      <c r="C9" s="7" t="n"/>
      <c r="D9" s="13">
        <f>ModCostPerMW</f>
        <v/>
      </c>
    </row>
    <row r="10"/>
    <row r="11">
      <c r="B11" s="4" t="inlineStr">
        <is>
          <t>TOTAL PROJECT COST</t>
        </is>
      </c>
      <c r="C11" s="5" t="n"/>
      <c r="D11" s="5" t="n"/>
    </row>
    <row r="12">
      <c r="B12" s="9" t="inlineStr">
        <is>
          <t>Project Cost Before Financing Costs</t>
        </is>
      </c>
      <c r="D12" s="14">
        <f>PCBF</f>
        <v/>
      </c>
    </row>
    <row r="13">
      <c r="B13" s="6" t="inlineStr">
        <is>
          <t>Financing Costs, Fee and Capitalised Interest</t>
        </is>
      </c>
      <c r="C13" s="7" t="n"/>
      <c r="D13" s="15">
        <f>TotalProjectCost-PCBF</f>
        <v/>
      </c>
    </row>
    <row r="14">
      <c r="B14" s="16" t="inlineStr">
        <is>
          <t>TOTAL PROJECT COST</t>
        </is>
      </c>
      <c r="D14" s="17">
        <f>TotalProjectCost</f>
        <v/>
      </c>
    </row>
    <row r="15">
      <c r="B15" s="18" t="inlineStr">
        <is>
          <t>Total Project Cost per MW</t>
        </is>
      </c>
      <c r="C15" s="7" t="n"/>
      <c r="D15" s="19">
        <f>TotalProjectCost/MW_IT</f>
        <v/>
      </c>
    </row>
    <row r="16">
      <c r="B16" s="9" t="inlineStr">
        <is>
          <t>Total Project Cost per kW</t>
        </is>
      </c>
      <c r="D16" s="20">
        <f>TotalProjectCost/KW_IT</f>
        <v/>
      </c>
    </row>
    <row r="17">
      <c r="B17" s="6" t="inlineStr">
        <is>
          <t>Low Case Total Project Cost</t>
        </is>
      </c>
      <c r="C17" s="7" t="n"/>
      <c r="D17" s="13">
        <f>LowCaseTPC</f>
        <v/>
      </c>
    </row>
    <row r="18">
      <c r="B18" s="9" t="inlineStr">
        <is>
          <t>High Case Total Project Cost</t>
        </is>
      </c>
      <c r="D18" s="14">
        <f>HighCaseTPC</f>
        <v/>
      </c>
    </row>
    <row r="19">
      <c r="B19" s="6" t="inlineStr">
        <is>
          <t>Low to High Cost Range per MW</t>
        </is>
      </c>
      <c r="C19" s="7" t="n"/>
      <c r="D19" s="15">
        <f>(HighCaseTPC-LowCaseTPC)/MW_IT</f>
        <v/>
      </c>
    </row>
    <row r="20"/>
    <row r="21">
      <c r="B21" s="4" t="inlineStr">
        <is>
          <t>CAPITAL STACK, STRUCTURE A</t>
        </is>
      </c>
      <c r="C21" s="5" t="n"/>
      <c r="D21" s="5" t="n"/>
    </row>
    <row r="22">
      <c r="B22" s="9" t="inlineStr">
        <is>
          <t>Senior Construction Commitment</t>
        </is>
      </c>
      <c r="D22" s="14">
        <f>SnrCommitment</f>
        <v/>
      </c>
    </row>
    <row r="23">
      <c r="B23" s="6" t="inlineStr">
        <is>
          <t>C-PACE Assessment Commitment</t>
        </is>
      </c>
      <c r="C23" s="7" t="n"/>
      <c r="D23" s="13">
        <f>PaceCommitment</f>
        <v/>
      </c>
    </row>
    <row r="24">
      <c r="B24" s="16" t="inlineStr">
        <is>
          <t>Total Equity</t>
        </is>
      </c>
      <c r="D24" s="14">
        <f>TotalEquityA</f>
        <v/>
      </c>
    </row>
    <row r="25">
      <c r="B25" s="18" t="inlineStr">
        <is>
          <t>Leverage on Total Project Cost</t>
        </is>
      </c>
      <c r="C25" s="7" t="n"/>
      <c r="D25" s="21">
        <f>(SnrCommitment+PaceCommitment)/TotalProjectCost</f>
        <v/>
      </c>
    </row>
    <row r="26">
      <c r="B26" s="9" t="inlineStr">
        <is>
          <t>Blended Cost of Debt</t>
        </is>
      </c>
      <c r="D26" s="22">
        <f>BlendedDebtCostA</f>
        <v/>
      </c>
    </row>
    <row r="27">
      <c r="B27" s="6" t="inlineStr">
        <is>
          <t>Equity Cheque under Structure B</t>
        </is>
      </c>
      <c r="C27" s="7" t="n"/>
      <c r="D27" s="13">
        <f>EquityB</f>
        <v/>
      </c>
    </row>
    <row r="28">
      <c r="B28" s="16" t="inlineStr">
        <is>
          <t>Equity Saving under Structure B</t>
        </is>
      </c>
      <c r="D28" s="23">
        <f>TotalEquityA-EquityB</f>
        <v/>
      </c>
    </row>
    <row r="29"/>
    <row r="30">
      <c r="B30" s="4" t="inlineStr">
        <is>
          <t>OPERATIONS AND CREDIT</t>
        </is>
      </c>
      <c r="C30" s="5" t="n"/>
      <c r="D30" s="5" t="n"/>
    </row>
    <row r="31">
      <c r="B31" s="6" t="inlineStr">
        <is>
          <t>Contracted Rate per kW per Month</t>
        </is>
      </c>
      <c r="C31" s="7" t="n"/>
      <c r="D31" s="24">
        <f>RatePerKw</f>
        <v/>
      </c>
    </row>
    <row r="32">
      <c r="B32" s="16" t="inlineStr">
        <is>
          <t>Stabilised Net Operating Income</t>
        </is>
      </c>
      <c r="D32" s="14">
        <f>StabilisedNOI</f>
        <v/>
      </c>
    </row>
    <row r="33">
      <c r="B33" s="6" t="inlineStr">
        <is>
          <t>Stabilised NOI per kW per Month</t>
        </is>
      </c>
      <c r="C33" s="7" t="n"/>
      <c r="D33" s="25">
        <f>StabilisedNOI/KW_IT/12</f>
        <v/>
      </c>
    </row>
    <row r="34">
      <c r="B34" s="16" t="inlineStr">
        <is>
          <t>Yield on Total Project Cost</t>
        </is>
      </c>
      <c r="D34" s="26">
        <f>StabilisedNOI/TotalProjectCost</f>
        <v/>
      </c>
    </row>
    <row r="35">
      <c r="B35" s="18" t="inlineStr">
        <is>
          <t>Development Spread over the Exit Cap Rate</t>
        </is>
      </c>
      <c r="C35" s="7" t="n"/>
      <c r="D35" s="27">
        <f>(StabilisedNOI/TotalProjectCost-ExitCapRate)*10000</f>
        <v/>
      </c>
    </row>
    <row r="36">
      <c r="B36" s="9" t="inlineStr">
        <is>
          <t>Permanent Loan Proceeds at Stabilisation</t>
        </is>
      </c>
      <c r="D36" s="14">
        <f>PermLoan</f>
        <v/>
      </c>
    </row>
    <row r="37">
      <c r="B37" s="6" t="inlineStr">
        <is>
          <t>Permanent Loan to Cost at Refinancing</t>
        </is>
      </c>
      <c r="C37" s="7" t="n"/>
      <c r="D37" s="28">
        <f>PermLoan/TotalProjectCost</f>
        <v/>
      </c>
    </row>
    <row r="38">
      <c r="B38" s="9" t="inlineStr">
        <is>
          <t>Binding Sizing Constraint</t>
        </is>
      </c>
      <c r="D38" s="29">
        <f>BindingConstraint</f>
        <v/>
      </c>
    </row>
    <row r="39">
      <c r="B39" s="18" t="inlineStr">
        <is>
          <t>Stabilised DSCR</t>
        </is>
      </c>
      <c r="C39" s="7" t="n"/>
      <c r="D39" s="30">
        <f>StabDSCR</f>
        <v/>
      </c>
    </row>
    <row r="40">
      <c r="B40" s="9" t="inlineStr">
        <is>
          <t>Stabilised Debt Yield</t>
        </is>
      </c>
      <c r="D40" s="31">
        <f>StabDebtYield</f>
        <v/>
      </c>
    </row>
    <row r="41"/>
    <row r="42">
      <c r="B42" s="4" t="inlineStr">
        <is>
          <t>ASSUMPTION CALIBRATION</t>
        </is>
      </c>
      <c r="C42" s="5" t="n"/>
      <c r="D42" s="5" t="n"/>
      <c r="E42" s="5" t="n"/>
      <c r="F42" s="5" t="n"/>
    </row>
    <row r="43" ht="26" customHeight="1">
      <c r="B43" s="9" t="inlineStr">
        <is>
          <t>Development Spread over the Exit Cap Rate</t>
        </is>
      </c>
      <c r="D43" s="32">
        <f>(StabilisedNOI/TotalProjectCost-ExitCapRate)*10000</f>
        <v/>
      </c>
      <c r="F43" s="33">
        <f>IF(D43&gt;600,"Above the observable market band of 300 bps to 600 bps. Reduce the rate per kW per month or widen the exit cap rate.",IF(D43&lt;200,"Below the band. The spread does not compensate for construction and interconnection risk.","Inside the observable market band."))</f>
        <v/>
      </c>
    </row>
    <row r="44">
      <c r="B44" s="6" t="inlineStr">
        <is>
          <t>Stabilised Value as a Multiple of Total Project Cost</t>
        </is>
      </c>
      <c r="C44" s="7" t="n"/>
      <c r="D44" s="34">
        <f>StabilisedNOI/ExitCapRate/TotalProjectCost</f>
        <v/>
      </c>
      <c r="E44" s="7" t="n"/>
      <c r="F44" s="7" t="n"/>
    </row>
    <row r="45">
      <c r="B45" s="9" t="inlineStr">
        <is>
          <t>Rate per kW per Month Implying the Target Development Spread</t>
        </is>
      </c>
      <c r="D45" s="35">
        <f>((ExitCapRate+TargetSpread/10000)*TotalProjectCost+(Insurance+CapReservePerKw*KW_IT+LandlordGA)*(1+OpexEscal))/(KW_IT*12*(1+RentEscal)*(1-VacancyPct)*(1-MgmtFeePct))</f>
        <v/>
      </c>
    </row>
    <row r="46">
      <c r="B46" s="3" t="inlineStr">
        <is>
          <t>A development spread wider than roughly 600 bps signals that the rate per kW per month and the total cost per MW are drawn from different markets. Tier one pricing of $150 to $200 per kW per month goes with a land basis above $2.0M per MW and an all in cost of $13.0M to $15.0M per MW, not the $2.5M site in the Base cost case.</t>
        </is>
      </c>
    </row>
    <row r="47"/>
    <row r="48">
      <c r="B48" s="4" t="inlineStr">
        <is>
          <t>RETURNS</t>
        </is>
      </c>
      <c r="C48" s="5" t="n"/>
      <c r="D48" s="5" t="n"/>
    </row>
    <row r="49">
      <c r="B49" s="6" t="inlineStr">
        <is>
          <t>Stabilised Value at the Exit Cap Rate</t>
        </is>
      </c>
      <c r="C49" s="7" t="n"/>
      <c r="D49" s="15">
        <f>StabilisedNOI/ExitCapRate</f>
        <v/>
      </c>
    </row>
    <row r="50">
      <c r="B50" s="16" t="inlineStr">
        <is>
          <t>Value Creation over Total Project Cost</t>
        </is>
      </c>
      <c r="D50" s="23">
        <f>StabilisedNOI/ExitCapRate-TotalProjectCost</f>
        <v/>
      </c>
    </row>
    <row r="51">
      <c r="B51" s="18" t="inlineStr">
        <is>
          <t>Profit on Cost</t>
        </is>
      </c>
      <c r="C51" s="7" t="n"/>
      <c r="D51" s="21">
        <f>(StabilisedNOI/ExitCapRate-TotalProjectCost)/TotalProjectCost</f>
        <v/>
      </c>
    </row>
    <row r="52">
      <c r="B52" s="16" t="inlineStr">
        <is>
          <t>Unlevered IRR</t>
        </is>
      </c>
      <c r="D52" s="31">
        <f>UnleveredIRR</f>
        <v/>
      </c>
    </row>
    <row r="53">
      <c r="B53" s="6" t="inlineStr">
        <is>
          <t>Unlevered Multiple</t>
        </is>
      </c>
      <c r="C53" s="7" t="n"/>
      <c r="D53" s="36">
        <f>UnleveredMultiple</f>
        <v/>
      </c>
    </row>
    <row r="54">
      <c r="B54" s="16" t="inlineStr">
        <is>
          <t>Levered Equity IRR</t>
        </is>
      </c>
      <c r="D54" s="37">
        <f>LeveredIRR</f>
        <v/>
      </c>
    </row>
    <row r="55">
      <c r="B55" s="18" t="inlineStr">
        <is>
          <t>Levered Equity Multiple</t>
        </is>
      </c>
      <c r="C55" s="7" t="n"/>
      <c r="D55" s="36">
        <f>LeveredMultiple</f>
        <v/>
      </c>
    </row>
    <row r="56">
      <c r="B56" s="9" t="inlineStr">
        <is>
          <t>LP IRR</t>
        </is>
      </c>
      <c r="D56" s="31">
        <f>LP_IRR</f>
        <v/>
      </c>
    </row>
    <row r="57">
      <c r="B57" s="6" t="inlineStr">
        <is>
          <t>LP Equity Multiple</t>
        </is>
      </c>
      <c r="C57" s="7" t="n"/>
      <c r="D57" s="36">
        <f>LP_Multiple</f>
        <v/>
      </c>
    </row>
    <row r="58">
      <c r="B58" s="9" t="inlineStr">
        <is>
          <t>GP Profit, Co-invest plus Promote</t>
        </is>
      </c>
      <c r="D58" s="14">
        <f>GP_Profit</f>
        <v/>
      </c>
    </row>
    <row r="59"/>
    <row r="60">
      <c r="B60" s="4" t="inlineStr">
        <is>
          <t>MODEL INTEGRITY CHECKS</t>
        </is>
      </c>
      <c r="C60" s="5" t="n"/>
      <c r="D60" s="5" t="n"/>
    </row>
    <row r="61">
      <c r="B61" s="6" t="inlineStr">
        <is>
          <t>Total sources less total project cost</t>
        </is>
      </c>
      <c r="C61" s="7" t="n"/>
      <c r="D61" s="24">
        <f>SourcesCheck</f>
        <v/>
      </c>
      <c r="E61" s="7" t="n"/>
      <c r="F61" s="38">
        <f>IF(ABS(D61)&lt;0.01,"Pass","Review")</f>
        <v/>
      </c>
    </row>
    <row r="62">
      <c r="B62" s="9" t="inlineStr">
        <is>
          <t>Draw curve variance from 100%</t>
        </is>
      </c>
      <c r="D62" s="39">
        <f>CurveCheck-1</f>
        <v/>
      </c>
      <c r="F62" s="40">
        <f>IF(ABS(D62)&lt;0.01,"Pass","Review")</f>
        <v/>
      </c>
    </row>
    <row r="63">
      <c r="B63" s="6" t="inlineStr">
        <is>
          <t>Cumulative draw less project cost before financing</t>
        </is>
      </c>
      <c r="C63" s="7" t="n"/>
      <c r="D63" s="24">
        <f>DrawCheck</f>
        <v/>
      </c>
      <c r="E63" s="7" t="n"/>
      <c r="F63" s="38">
        <f>IF(ABS(D63)&lt;0.01,"Pass","Review")</f>
        <v/>
      </c>
    </row>
    <row r="64">
      <c r="B64" s="9" t="inlineStr">
        <is>
          <t>Senior balance at month 24 less senior commitment</t>
        </is>
      </c>
      <c r="D64" s="41">
        <f>SnrCheck</f>
        <v/>
      </c>
      <c r="F64" s="40">
        <f>IF(ABS(D64)&lt;0.01,"Pass","Review")</f>
        <v/>
      </c>
    </row>
    <row r="65">
      <c r="B65" s="6" t="inlineStr">
        <is>
          <t>C-PACE balance at month 24 less C-PACE commitment</t>
        </is>
      </c>
      <c r="C65" s="7" t="n"/>
      <c r="D65" s="24">
        <f>PaceCheck</f>
        <v/>
      </c>
      <c r="E65" s="7" t="n"/>
      <c r="F65" s="38">
        <f>IF(ABS(D65)&lt;0.01,"Pass","Review")</f>
        <v/>
      </c>
    </row>
    <row r="66">
      <c r="B66" s="9" t="inlineStr">
        <is>
          <t>Equity plus debt drawn less project cost before financing</t>
        </is>
      </c>
      <c r="D66" s="41">
        <f>FundCheck</f>
        <v/>
      </c>
      <c r="F66" s="40">
        <f>IF(ABS(D66)&lt;0.01,"Pass","Review")</f>
        <v/>
      </c>
    </row>
    <row r="67">
      <c r="B67" s="6" t="inlineStr">
        <is>
          <t>Modelled stabilised NOI less the closed form used in the grids</t>
        </is>
      </c>
      <c r="C67" s="7" t="n"/>
      <c r="D67" s="24">
        <f>NoiCheck</f>
        <v/>
      </c>
      <c r="E67" s="7" t="n"/>
      <c r="F67" s="38">
        <f>IF(ABS(D67)&lt;0.01,"Pass","Review")</f>
        <v/>
      </c>
    </row>
    <row r="68">
      <c r="B68" s="9" t="inlineStr">
        <is>
          <t>Waterfall allocation variance across all years</t>
        </is>
      </c>
      <c r="D68" s="41">
        <f>WaterfallCheck</f>
        <v/>
      </c>
      <c r="F68" s="40">
        <f>IF(ABS(D68)&lt;0.01,"Pass","Review")</f>
        <v/>
      </c>
    </row>
    <row r="69">
      <c r="B69" s="6" t="inlineStr">
        <is>
          <t>LP plus GP cash flow less total equity cash flow</t>
        </is>
      </c>
      <c r="C69" s="7" t="n"/>
      <c r="D69" s="24">
        <f>SplitCheck</f>
        <v/>
      </c>
      <c r="E69" s="7" t="n"/>
      <c r="F69" s="38">
        <f>IF(ABS(D69)&lt;0.01,"Pass","Review")</f>
        <v/>
      </c>
    </row>
    <row r="70"/>
    <row r="71">
      <c r="B71" s="3" t="inlineStr">
        <is>
          <t>Every check above resolves to zero when the model is internally consistent. Any row reading Review indicates a broken link.</t>
        </is>
      </c>
    </row>
    <row r="72"/>
    <row r="73">
      <c r="B73" s="4" t="inlineStr">
        <is>
          <t>KEY RISKS AND MITIGANTS</t>
        </is>
      </c>
      <c r="C73" s="5" t="n"/>
      <c r="D73" s="5" t="n"/>
      <c r="E73" s="5" t="n"/>
      <c r="F73" s="5" t="n"/>
    </row>
    <row r="74" ht="30" customHeight="1">
      <c r="B74" s="18" t="inlineStr">
        <is>
          <t>Power availability</t>
        </is>
      </c>
      <c r="C74" s="7" t="n"/>
      <c r="D74" s="42" t="inlineStr">
        <is>
          <t>Risk: An existing service connection does not evidence firm available capacity. Interconnection queues run three to seven years for incremental load in constrained markets.</t>
        </is>
      </c>
    </row>
    <row r="75" ht="30" customHeight="1">
      <c r="D75" s="43" t="inlineStr">
        <is>
          <t>Mitigant: Make the purchase contingent on a written will serve letter for the full gross utility demand, with a diligence period of 120 to 180 days so the utility study completes before deposits go hard.</t>
        </is>
      </c>
    </row>
    <row r="76" ht="30" customHeight="1">
      <c r="B76" s="18" t="inlineStr">
        <is>
          <t>Leasing risk</t>
        </is>
      </c>
      <c r="C76" s="7" t="n"/>
      <c r="D76" s="42" t="inlineStr">
        <is>
          <t>Risk: No senior construction debt is available on a speculative basis at 5 MW, so the model has no financeable path without a tenant.</t>
        </is>
      </c>
    </row>
    <row r="77" ht="30" customHeight="1">
      <c r="D77" s="43" t="inlineStr">
        <is>
          <t>Mitigant: Secure a signed lease or a letter of intent before closing on the land, or phase delivery in 1 MW to 2 MW increments so the first module proves the site and funds the next.</t>
        </is>
      </c>
    </row>
    <row r="78" ht="30" customHeight="1">
      <c r="B78" s="18" t="inlineStr">
        <is>
          <t>Module scope gaps</t>
        </is>
      </c>
      <c r="C78" s="7" t="n"/>
      <c r="D78" s="42" t="inlineStr">
        <is>
          <t>Risk: The $7.5M per MW quote is an OEM price for the units, not a project price. Excluded scope drives the entire spread between the Low and High cost cases.</t>
        </is>
      </c>
    </row>
    <row r="79" ht="30" customHeight="1">
      <c r="D79" s="43" t="inlineStr">
        <is>
          <t>Mitigant: Obtain a written scope matrix and a guaranteed maximum price with a capped escalation mechanism before committing equity.</t>
        </is>
      </c>
    </row>
    <row r="80" ht="30" customHeight="1">
      <c r="B80" s="18" t="inlineStr">
        <is>
          <t>Long lead equipment</t>
        </is>
      </c>
      <c r="C80" s="7" t="n"/>
      <c r="D80" s="42" t="inlineStr">
        <is>
          <t>Risk: Transformers run 60 to 130 weeks, generators 50 to 80 weeks and switchgear 40 to 70 weeks, which drives both cost and schedule.</t>
        </is>
      </c>
    </row>
    <row r="81" ht="30" customHeight="1">
      <c r="D81" s="43" t="inlineStr">
        <is>
          <t>Mitigant: Place deposits on transformers and generators at land closing, ahead of full permitting, and carry the contingency at the upper end of the range.</t>
        </is>
      </c>
    </row>
    <row r="82" ht="30" customHeight="1">
      <c r="B82" s="18" t="inlineStr">
        <is>
          <t>Cooling specification</t>
        </is>
      </c>
      <c r="C82" s="7" t="n"/>
      <c r="D82" s="42" t="inlineStr">
        <is>
          <t>Risk: An air cooled module is functionally obsolete for a tenant requiring 50 kW to 130 kW per rack.</t>
        </is>
      </c>
    </row>
    <row r="83" ht="30" customHeight="1">
      <c r="D83" s="43" t="inlineStr">
        <is>
          <t>Mitigant: Specify liquid cooling readiness at design for a 5% to 10% module premium, which the Liquid Cooling Ready Premium input on the Assumptions tab flexes directly.</t>
        </is>
      </c>
    </row>
    <row r="84" ht="30" customHeight="1">
      <c r="B84" s="18" t="inlineStr">
        <is>
          <t>Floating rate exposure</t>
        </is>
      </c>
      <c r="C84" s="7" t="n"/>
      <c r="D84" s="42" t="inlineStr">
        <is>
          <t>Risk: The construction facility floats over SOFR through a 24 month build and refinancing window.</t>
        </is>
      </c>
    </row>
    <row r="85" ht="30" customHeight="1">
      <c r="D85" s="43" t="inlineStr">
        <is>
          <t>Mitigant: Purchase a rate cap at loan closing and size the C-PACE tranche as large as the programme allows, since that tranche is fixed for 25 years.</t>
        </is>
      </c>
    </row>
    <row r="86" ht="30" customHeight="1">
      <c r="B86" s="18" t="inlineStr">
        <is>
          <t>Entitlement and water</t>
        </is>
      </c>
      <c r="C86" s="7" t="n"/>
      <c r="D86" s="42" t="inlineStr">
        <is>
          <t>Risk: Data center moratoria and water use restrictions have spread across multiple jurisdictions.</t>
        </is>
      </c>
    </row>
    <row r="87" ht="30" customHeight="1">
      <c r="D87" s="43" t="inlineStr">
        <is>
          <t>Mitigant: Acquire a site where data center use is already permitted by right under industrial zoning, and specify a closed loop or air cooled design to remove water consumption from the political question.</t>
        </is>
      </c>
    </row>
    <row r="88"/>
    <row r="89">
      <c r="B89" s="3" t="inlineStr">
        <is>
          <t>Source: OEM indicative module quote at $7.5M per MW. Cost lines benchmarked to 2025 and 2026 wholesale and modular build pricing of $9.0M to $15.0M per MW all in. Lease rates benchmarked to wholesale colocation leasing of $150 to $200 per kW per month in tier one markets and $110 to $160 per kW per month in secondary markets.</t>
        </is>
      </c>
    </row>
    <row r="90">
      <c r="B90" s="3" t="inlineStr">
        <is>
          <t>All debt pricing is indicative as at the model date and requires a live quote. Tenant IT hardware is excluded throughout.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showGridLines="0" workbookViewId="0">
      <selection activeCell="A1" sqref="A1"/>
    </sheetView>
  </sheetViews>
  <sheetFormatPr baseColWidth="8" defaultRowHeight="15"/>
  <cols>
    <col width="2.4" customWidth="1" min="1" max="1"/>
    <col width="48" customWidth="1" min="2" max="2"/>
    <col width="2" customWidth="1" min="3" max="3"/>
    <col width="15" customWidth="1" min="4" max="4"/>
    <col width="2" customWidth="1" min="5" max="5"/>
    <col width="74" customWidth="1" min="6" max="6"/>
  </cols>
  <sheetData>
    <row r="1" ht="20" customHeight="1">
      <c r="B1" s="1" t="inlineStr">
        <is>
          <t>ASSUMPTIONS</t>
        </is>
      </c>
      <c r="C1" s="2" t="n"/>
      <c r="D1" s="2" t="n"/>
      <c r="E1" s="2" t="n"/>
      <c r="F1" s="2" t="n"/>
    </row>
    <row r="2">
      <c r="B2" s="3" t="inlineStr">
        <is>
          <t>Green figures are hardcoded inputs. Black figures are calculated on this sheet. Blue figures link to another schedule.</t>
        </is>
      </c>
    </row>
    <row r="3"/>
    <row r="4">
      <c r="B4" s="4" t="inlineStr">
        <is>
          <t>CAPACITY AND PROGRAMME</t>
        </is>
      </c>
      <c r="C4" s="5" t="n"/>
      <c r="D4" s="5" t="n"/>
      <c r="E4" s="5" t="n"/>
      <c r="F4" s="5" t="n"/>
    </row>
    <row r="5">
      <c r="B5" s="9" t="inlineStr">
        <is>
          <t>Critical IT Load (MW)</t>
        </is>
      </c>
      <c r="D5" s="44" t="n">
        <v>5</v>
      </c>
      <c r="F5" s="3" t="inlineStr">
        <is>
          <t>Contracted white space capacity sold to the tenant</t>
        </is>
      </c>
    </row>
    <row r="6">
      <c r="B6" s="9" t="inlineStr">
        <is>
          <t>Critical IT Load (kW)</t>
        </is>
      </c>
      <c r="D6" s="45">
        <f>Assumptions!$D$5*1000</f>
        <v/>
      </c>
    </row>
    <row r="7">
      <c r="B7" s="9" t="inlineStr">
        <is>
          <t>Design PUE (x)</t>
        </is>
      </c>
      <c r="D7" s="46" t="n">
        <v>1.3</v>
      </c>
      <c r="F7" s="3" t="inlineStr">
        <is>
          <t>Blended annualised power usage effectiveness</t>
        </is>
      </c>
    </row>
    <row r="8">
      <c r="B8" s="9" t="inlineStr">
        <is>
          <t>Gross Utility Demand (MW)</t>
        </is>
      </c>
      <c r="D8" s="10">
        <f>Assumptions!$D$5*Assumptions!$D$7</f>
        <v/>
      </c>
      <c r="F8" s="3" t="inlineStr">
        <is>
          <t>Size the interconnection off this figure, not off critical load</t>
        </is>
      </c>
    </row>
    <row r="9">
      <c r="B9" s="9" t="inlineStr">
        <is>
          <t>Cost Case (1 = Low, 2 = Base, 3 = High)</t>
        </is>
      </c>
      <c r="D9" s="47" t="n">
        <v>2</v>
      </c>
      <c r="F9" s="3" t="inlineStr">
        <is>
          <t>Drives the selected column on Uses of Funds</t>
        </is>
      </c>
    </row>
    <row r="10">
      <c r="B10" s="9" t="inlineStr">
        <is>
          <t>Construction Period (months)</t>
        </is>
      </c>
      <c r="D10" s="48" t="n">
        <v>18</v>
      </c>
      <c r="F10" s="3" t="inlineStr">
        <is>
          <t>Site mobilisation through field commissioning</t>
        </is>
      </c>
    </row>
    <row r="11">
      <c r="B11" s="9" t="inlineStr">
        <is>
          <t>Months of Operation in Year 2</t>
        </is>
      </c>
      <c r="D11" s="48" t="n">
        <v>6</v>
      </c>
      <c r="F11" s="3" t="inlineStr">
        <is>
          <t>Rent commences at completion under a signed lease</t>
        </is>
      </c>
    </row>
    <row r="12"/>
    <row r="13">
      <c r="B13" s="4" t="inlineStr">
        <is>
          <t>MODULE AND COST DRIVERS</t>
        </is>
      </c>
      <c r="C13" s="5" t="n"/>
      <c r="D13" s="5" t="n"/>
      <c r="E13" s="5" t="n"/>
      <c r="F13" s="5" t="n"/>
    </row>
    <row r="14">
      <c r="B14" s="9" t="inlineStr">
        <is>
          <t>Module Cost per MW ($)</t>
        </is>
      </c>
      <c r="D14" s="49" t="n">
        <v>7500000</v>
      </c>
      <c r="F14" s="3" t="inlineStr">
        <is>
          <t>OEM indicative quote for the prefabricated units, delivered and set</t>
        </is>
      </c>
    </row>
    <row r="15">
      <c r="B15" s="9" t="inlineStr">
        <is>
          <t>Liquid Cooling Ready Premium (% of module)</t>
        </is>
      </c>
      <c r="D15" s="50" t="n">
        <v>0</v>
      </c>
      <c r="F15" s="3" t="inlineStr">
        <is>
          <t>CDU footprint, secondary loop stubs and floor loading for direct to chip</t>
        </is>
      </c>
    </row>
    <row r="16">
      <c r="B16" s="9" t="inlineStr">
        <is>
          <t>Module Scope, Base Specification</t>
        </is>
      </c>
      <c r="D16" s="20">
        <f>Assumptions!$D$5*Assumptions!$D$14*(1+Assumptions!$D$15)</f>
        <v/>
      </c>
    </row>
    <row r="17"/>
    <row r="18">
      <c r="B18" s="4" t="inlineStr">
        <is>
          <t>LEASE AND OPERATIONS</t>
        </is>
      </c>
      <c r="C18" s="5" t="n"/>
      <c r="D18" s="5" t="n"/>
      <c r="E18" s="5" t="n"/>
      <c r="F18" s="5" t="n"/>
    </row>
    <row r="19">
      <c r="B19" s="9" t="inlineStr">
        <is>
          <t>Rate per kW per Month ($)</t>
        </is>
      </c>
      <c r="D19" s="51" t="n">
        <v>160</v>
      </c>
      <c r="F19" s="3" t="inlineStr">
        <is>
          <t>Wholesale triple net. Tier one markets $150 to $200, secondary markets $110 to $160</t>
        </is>
      </c>
    </row>
    <row r="20">
      <c r="B20" s="9" t="inlineStr">
        <is>
          <t>Annual Rent Escalation (%)</t>
        </is>
      </c>
      <c r="D20" s="50" t="n">
        <v>0.03</v>
      </c>
      <c r="F20" s="3" t="inlineStr">
        <is>
          <t>Contractual bump inside the lease</t>
        </is>
      </c>
    </row>
    <row r="21">
      <c r="B21" s="9" t="inlineStr">
        <is>
          <t>Lease Term (years)</t>
        </is>
      </c>
      <c r="D21" s="52" t="n">
        <v>15</v>
      </c>
      <c r="F21" s="3" t="inlineStr">
        <is>
          <t>Initial term before extension options</t>
        </is>
      </c>
    </row>
    <row r="22">
      <c r="B22" s="9" t="inlineStr">
        <is>
          <t>Structural Vacancy and Credit Loss (%)</t>
        </is>
      </c>
      <c r="D22" s="50" t="n">
        <v>0.03</v>
      </c>
      <c r="F22" s="3" t="inlineStr">
        <is>
          <t>Applied to gross potential rent</t>
        </is>
      </c>
    </row>
    <row r="23">
      <c r="B23" s="9" t="inlineStr">
        <is>
          <t>Management Fee (% of EGR)</t>
        </is>
      </c>
      <c r="D23" s="50" t="n">
        <v>0.015</v>
      </c>
    </row>
    <row r="24">
      <c r="B24" s="9" t="inlineStr">
        <is>
          <t>Insurance ($ per year)</t>
        </is>
      </c>
      <c r="D24" s="49" t="n">
        <v>120000</v>
      </c>
      <c r="F24" s="3" t="inlineStr">
        <is>
          <t>Property and liability retained by the landlord</t>
        </is>
      </c>
    </row>
    <row r="25">
      <c r="B25" s="9" t="inlineStr">
        <is>
          <t>Capital Reserve ($ per kW per year)</t>
        </is>
      </c>
      <c r="D25" s="51" t="n">
        <v>8</v>
      </c>
    </row>
    <row r="26">
      <c r="B26" s="9" t="inlineStr">
        <is>
          <t>Landlord G&amp;A ($ per year)</t>
        </is>
      </c>
      <c r="D26" s="49" t="n">
        <v>100000</v>
      </c>
    </row>
    <row r="27">
      <c r="B27" s="9" t="inlineStr">
        <is>
          <t>Operating Cost Escalation (%)</t>
        </is>
      </c>
      <c r="D27" s="50" t="n">
        <v>0.025</v>
      </c>
    </row>
    <row r="28"/>
    <row r="29">
      <c r="B29" s="4" t="inlineStr">
        <is>
          <t>SENIOR CONSTRUCTION DEBT</t>
        </is>
      </c>
      <c r="C29" s="5" t="n"/>
      <c r="D29" s="5" t="n"/>
      <c r="E29" s="5" t="n"/>
      <c r="F29" s="5" t="n"/>
    </row>
    <row r="30">
      <c r="B30" s="9" t="inlineStr">
        <is>
          <t>Loan to Cost (%)</t>
        </is>
      </c>
      <c r="D30" s="50" t="n">
        <v>0.55</v>
      </c>
      <c r="F30" s="3" t="inlineStr">
        <is>
          <t>Applied to project cost before financing costs</t>
        </is>
      </c>
    </row>
    <row r="31">
      <c r="B31" s="9" t="inlineStr">
        <is>
          <t>SOFR (%)</t>
        </is>
      </c>
      <c r="D31" s="53" t="n">
        <v>0.035</v>
      </c>
      <c r="F31" s="3" t="inlineStr">
        <is>
          <t>Indicative. Confirm against the live curve before committing</t>
        </is>
      </c>
    </row>
    <row r="32">
      <c r="B32" s="9" t="inlineStr">
        <is>
          <t>Credit Spread (bps)</t>
        </is>
      </c>
      <c r="D32" s="54" t="n">
        <v>425</v>
      </c>
      <c r="F32" s="3" t="inlineStr">
        <is>
          <t>Bank pricing with a signed lease in hand. Debt funds price 500 to 750 bps</t>
        </is>
      </c>
    </row>
    <row r="33">
      <c r="B33" s="16" t="inlineStr">
        <is>
          <t>All In Coupon (%)</t>
        </is>
      </c>
      <c r="D33" s="55">
        <f>Assumptions!$D$31+Assumptions!$D$32/10000</f>
        <v/>
      </c>
    </row>
    <row r="34">
      <c r="B34" s="9" t="inlineStr">
        <is>
          <t>Origination Fee (% of commitment)</t>
        </is>
      </c>
      <c r="D34" s="50" t="n">
        <v>0.0125</v>
      </c>
    </row>
    <row r="35">
      <c r="B35" s="9" t="inlineStr">
        <is>
          <t>Term to Refinance (months)</t>
        </is>
      </c>
      <c r="D35" s="48" t="n">
        <v>24</v>
      </c>
      <c r="F35" s="3" t="inlineStr">
        <is>
          <t>Construction period plus stabilisation. Interest is capitalised throughout</t>
        </is>
      </c>
    </row>
    <row r="36">
      <c r="B36" s="9" t="inlineStr">
        <is>
          <t>Mid Period Draw Convention (%)</t>
        </is>
      </c>
      <c r="D36" s="50" t="n">
        <v>0.5</v>
      </c>
      <c r="F36" s="3" t="inlineStr">
        <is>
          <t>Share of the current month funding that accrues interest in that month</t>
        </is>
      </c>
    </row>
    <row r="37"/>
    <row r="38">
      <c r="B38" s="4" t="inlineStr">
        <is>
          <t>C-PACE ASSESSMENT FINANCING</t>
        </is>
      </c>
      <c r="C38" s="5" t="n"/>
      <c r="D38" s="5" t="n"/>
      <c r="E38" s="5" t="n"/>
      <c r="F38" s="5" t="n"/>
    </row>
    <row r="39">
      <c r="B39" s="9" t="inlineStr">
        <is>
          <t>C-PACE (% of cost)</t>
        </is>
      </c>
      <c r="D39" s="50" t="n">
        <v>0.15</v>
      </c>
      <c r="F39" s="3" t="inlineStr">
        <is>
          <t>Efficiency and resiliency eligible mechanical and electrical scope</t>
        </is>
      </c>
    </row>
    <row r="40">
      <c r="B40" s="9" t="inlineStr">
        <is>
          <t>C-PACE Coupon (%)</t>
        </is>
      </c>
      <c r="D40" s="53" t="n">
        <v>0.075</v>
      </c>
      <c r="F40" s="3" t="inlineStr">
        <is>
          <t>Fixed for the full assessment term and non recourse</t>
        </is>
      </c>
    </row>
    <row r="41">
      <c r="B41" s="9" t="inlineStr">
        <is>
          <t>C-PACE Amortisation (years)</t>
        </is>
      </c>
      <c r="D41" s="52" t="n">
        <v>25</v>
      </c>
    </row>
    <row r="42"/>
    <row r="43">
      <c r="B43" s="4" t="inlineStr">
        <is>
          <t>PERMANENT DEBT AT STABILISATION</t>
        </is>
      </c>
      <c r="C43" s="5" t="n"/>
      <c r="D43" s="5" t="n"/>
      <c r="E43" s="5" t="n"/>
      <c r="F43" s="5" t="n"/>
    </row>
    <row r="44">
      <c r="B44" s="9" t="inlineStr">
        <is>
          <t>Stabilised Valuation Cap Rate (%)</t>
        </is>
      </c>
      <c r="D44" s="53" t="n">
        <v>0.065</v>
      </c>
      <c r="F44" s="3" t="inlineStr">
        <is>
          <t>Used to size the takeout loan</t>
        </is>
      </c>
    </row>
    <row r="45">
      <c r="B45" s="9" t="inlineStr">
        <is>
          <t>Permanent LTV Cap (%)</t>
        </is>
      </c>
      <c r="D45" s="50" t="n">
        <v>0.6</v>
      </c>
    </row>
    <row r="46">
      <c r="B46" s="9" t="inlineStr">
        <is>
          <t>Permanent Loan to Cost Cap (%)</t>
        </is>
      </c>
      <c r="D46" s="50" t="n">
        <v>0.75</v>
      </c>
      <c r="F46" s="3" t="inlineStr">
        <is>
          <t>Lenders cap the takeout against cost basis, which binds on a wide development spread</t>
        </is>
      </c>
    </row>
    <row r="47">
      <c r="B47" s="9" t="inlineStr">
        <is>
          <t>Minimum DSCR (x)</t>
        </is>
      </c>
      <c r="D47" s="46" t="n">
        <v>1.4</v>
      </c>
      <c r="F47" s="3" t="inlineStr">
        <is>
          <t>Tested on combined senior plus C-PACE debt service</t>
        </is>
      </c>
    </row>
    <row r="48">
      <c r="B48" s="9" t="inlineStr">
        <is>
          <t>Permanent Coupon (%)</t>
        </is>
      </c>
      <c r="D48" s="53" t="n">
        <v>0.065</v>
      </c>
    </row>
    <row r="49">
      <c r="B49" s="9" t="inlineStr">
        <is>
          <t>Permanent Amortisation (years)</t>
        </is>
      </c>
      <c r="D49" s="52" t="n">
        <v>30</v>
      </c>
    </row>
    <row r="50">
      <c r="B50" s="9" t="inlineStr">
        <is>
          <t>Refinancing Fee (%)</t>
        </is>
      </c>
      <c r="D50" s="50" t="n">
        <v>0.01</v>
      </c>
    </row>
    <row r="51"/>
    <row r="52">
      <c r="B52" s="4" t="inlineStr">
        <is>
          <t>EXIT AND EQUITY RETURNS</t>
        </is>
      </c>
      <c r="C52" s="5" t="n"/>
      <c r="D52" s="5" t="n"/>
      <c r="E52" s="5" t="n"/>
      <c r="F52" s="5" t="n"/>
    </row>
    <row r="53">
      <c r="B53" s="9" t="inlineStr">
        <is>
          <t>Exit Cap Rate (%)</t>
        </is>
      </c>
      <c r="D53" s="53" t="n">
        <v>0.0675</v>
      </c>
      <c r="F53" s="3" t="inlineStr">
        <is>
          <t>Applied to the forward year NOI</t>
        </is>
      </c>
    </row>
    <row r="54">
      <c r="B54" s="9" t="inlineStr">
        <is>
          <t>Selling Costs (%)</t>
        </is>
      </c>
      <c r="D54" s="50" t="n">
        <v>0.015</v>
      </c>
    </row>
    <row r="55">
      <c r="B55" s="9" t="inlineStr">
        <is>
          <t>Target Development Spread (bps)</t>
        </is>
      </c>
      <c r="D55" s="54" t="n">
        <v>400</v>
      </c>
      <c r="F55" s="3" t="inlineStr">
        <is>
          <t>Used only to solve the implied rate per kW per month on the Summary tab</t>
        </is>
      </c>
    </row>
    <row r="56">
      <c r="B56" s="9" t="inlineStr">
        <is>
          <t>LP Share of Equity (%)</t>
        </is>
      </c>
      <c r="D56" s="50" t="n">
        <v>0.85</v>
      </c>
    </row>
    <row r="57">
      <c r="B57" s="9" t="inlineStr">
        <is>
          <t>GP Co-invest (%)</t>
        </is>
      </c>
      <c r="D57" s="31">
        <f>1-Assumptions!$D$56</f>
        <v/>
      </c>
    </row>
    <row r="58">
      <c r="B58" s="9" t="inlineStr">
        <is>
          <t>Preferred Return (%)</t>
        </is>
      </c>
      <c r="D58" s="50" t="n">
        <v>0.09</v>
      </c>
      <c r="F58" s="3" t="inlineStr">
        <is>
          <t>Compounded annually on unreturned capital</t>
        </is>
      </c>
    </row>
    <row r="59">
      <c r="B59" s="9" t="inlineStr">
        <is>
          <t>Second Hurdle IRR (%)</t>
        </is>
      </c>
      <c r="D59" s="50" t="n">
        <v>0.13</v>
      </c>
    </row>
    <row r="60">
      <c r="B60" s="9" t="inlineStr">
        <is>
          <t>Tier 2 Promote to GP (%)</t>
        </is>
      </c>
      <c r="D60" s="50" t="n">
        <v>0.3</v>
      </c>
      <c r="F60" s="3" t="inlineStr">
        <is>
          <t>Pro rata 70% to all equity above the preferred return</t>
        </is>
      </c>
    </row>
    <row r="61">
      <c r="B61" s="9" t="inlineStr">
        <is>
          <t>Tier 3 Promote to GP (%)</t>
        </is>
      </c>
      <c r="D61" s="50" t="n">
        <v>0.4</v>
      </c>
      <c r="F61" s="3" t="inlineStr">
        <is>
          <t>Pro rata 60% to all equity above the second hurdle</t>
        </is>
      </c>
    </row>
    <row r="62"/>
    <row r="63">
      <c r="B63" s="4" t="inlineStr">
        <is>
          <t>STRUCTURE B, EQUIPMENT FINANCE LED</t>
        </is>
      </c>
      <c r="C63" s="5" t="n"/>
      <c r="D63" s="5" t="n"/>
      <c r="E63" s="5" t="n"/>
      <c r="F63" s="5" t="n"/>
    </row>
    <row r="64">
      <c r="B64" s="9" t="inlineStr">
        <is>
          <t>Equipment Finance Advance Rate on Modules (%)</t>
        </is>
      </c>
      <c r="D64" s="50" t="n">
        <v>0.85</v>
      </c>
      <c r="F64" s="3" t="inlineStr">
        <is>
          <t>Modules are movable personal property, financeable against the units themselves</t>
        </is>
      </c>
    </row>
    <row r="65">
      <c r="B65" s="9" t="inlineStr">
        <is>
          <t>Equipment Finance Coupon (%)</t>
        </is>
      </c>
      <c r="D65" s="53" t="n">
        <v>0.1</v>
      </c>
      <c r="F65" s="3" t="inlineStr">
        <is>
          <t>Seven year amortising, OEM captive or independent lessor</t>
        </is>
      </c>
    </row>
    <row r="66">
      <c r="B66" s="9" t="inlineStr">
        <is>
          <t>Equipment Finance Capitalised Interest (% of advance)</t>
        </is>
      </c>
      <c r="D66" s="50" t="n">
        <v>0.03</v>
      </c>
      <c r="F66" s="3" t="inlineStr">
        <is>
          <t>Modules fund on delivery, so the carry is short</t>
        </is>
      </c>
    </row>
    <row r="67">
      <c r="B67" s="9" t="inlineStr">
        <is>
          <t>Mortgage Loan to Cost on Real Property (%)</t>
        </is>
      </c>
      <c r="D67" s="50" t="n">
        <v>0.6</v>
      </c>
      <c r="F67" s="3" t="inlineStr">
        <is>
          <t>Land, civil, interconnection, fiber and soft cost</t>
        </is>
      </c>
    </row>
    <row r="68">
      <c r="B68" s="9" t="inlineStr">
        <is>
          <t>Mortgage Credit Spread (bps)</t>
        </is>
      </c>
      <c r="D68" s="54" t="n">
        <v>400</v>
      </c>
      <c r="F68" s="3" t="inlineStr">
        <is>
          <t>Tighter than Structure A given the smaller loan against hard real property</t>
        </is>
      </c>
    </row>
    <row r="69"/>
    <row r="70"/>
    <row r="71">
      <c r="B71" s="3" t="inlineStr">
        <is>
          <t>Note: interest during construction is capitalised into an interest reserve inside each loan commitment, which is market standard for a construction facility. The reserve is sized off project cost before financing costs, so the model carries no circular reference.</t>
        </is>
      </c>
    </row>
    <row r="72">
      <c r="B72" s="3" t="inlineStr">
        <is>
          <t>Note: all pricing is indicative as at the model date and requires a live quote. Interconnection cost and delivery date require a utility capacity study and a will serve letter for the full gross utility demand shown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5"/>
  <cols>
    <col width="2.4" customWidth="1" min="1" max="1"/>
    <col width="47" customWidth="1" min="2" max="2"/>
    <col width="1.5" customWidth="1" min="3" max="3"/>
    <col width="14" customWidth="1" min="4" max="4"/>
    <col width="14" customWidth="1" min="5" max="5"/>
    <col width="14" customWidth="1" min="6" max="6"/>
    <col width="1.5" customWidth="1" min="7" max="7"/>
    <col width="15" customWidth="1" min="8" max="8"/>
    <col width="13" customWidth="1" min="9" max="9"/>
    <col width="11" customWidth="1" min="10" max="10"/>
  </cols>
  <sheetData>
    <row r="1" ht="20" customHeight="1">
      <c r="B1" s="1" t="inlineStr">
        <is>
          <t>USES OF FUNDS   |   TOTAL PROJECT COST</t>
        </is>
      </c>
      <c r="C1" s="2" t="n"/>
      <c r="D1" s="2" t="n"/>
      <c r="E1" s="2" t="n"/>
      <c r="F1" s="2" t="n"/>
      <c r="G1" s="2" t="n"/>
      <c r="H1" s="2" t="n"/>
      <c r="I1" s="2" t="n"/>
      <c r="J1" s="2" t="n"/>
    </row>
    <row r="2">
      <c r="B2" s="3" t="inlineStr">
        <is>
          <t>Three scenario columns. The Selected column is driven by the Cost Case input on the Assumptions tab.</t>
        </is>
      </c>
    </row>
    <row r="3"/>
    <row r="4" ht="28" customHeight="1">
      <c r="B4" s="1" t="inlineStr">
        <is>
          <t>Cost Line</t>
        </is>
      </c>
      <c r="C4" s="56" t="inlineStr"/>
      <c r="D4" s="56" t="inlineStr">
        <is>
          <t>Low</t>
        </is>
      </c>
      <c r="E4" s="56" t="inlineStr">
        <is>
          <t>Base</t>
        </is>
      </c>
      <c r="F4" s="56" t="inlineStr">
        <is>
          <t>High</t>
        </is>
      </c>
      <c r="G4" s="56" t="inlineStr"/>
      <c r="H4" s="56" t="inlineStr">
        <is>
          <t>Selected</t>
        </is>
      </c>
      <c r="I4" s="56" t="inlineStr">
        <is>
          <t>$ per MW</t>
        </is>
      </c>
      <c r="J4" s="56" t="inlineStr">
        <is>
          <t>% of Total</t>
        </is>
      </c>
    </row>
    <row r="5">
      <c r="B5" s="4" t="inlineStr">
        <is>
          <t>SITE ACQUISITION AND PRE DEVELOPMENT</t>
        </is>
      </c>
      <c r="C5" s="5" t="n"/>
      <c r="D5" s="5" t="n"/>
      <c r="E5" s="5" t="n"/>
      <c r="F5" s="5" t="n"/>
      <c r="G5" s="5" t="n"/>
      <c r="H5" s="5" t="n"/>
      <c r="I5" s="5" t="n"/>
      <c r="J5" s="5" t="n"/>
    </row>
    <row r="6">
      <c r="B6" s="9" t="inlineStr">
        <is>
          <t>Land or Industrial Building Acquisition</t>
        </is>
      </c>
      <c r="D6" s="49" t="n">
        <v>1000000</v>
      </c>
      <c r="E6" s="49" t="n">
        <v>2500000</v>
      </c>
      <c r="F6" s="49" t="n">
        <v>10000000</v>
      </c>
      <c r="H6" s="20">
        <f>INDEX(D6:F6,CaseNo)</f>
        <v/>
      </c>
      <c r="I6" s="20">
        <f>H6/MW_IT</f>
        <v/>
      </c>
      <c r="J6" s="57">
        <f>H6/TotalProjectCost</f>
        <v/>
      </c>
    </row>
    <row r="7">
      <c r="B7" s="6" t="inlineStr">
        <is>
          <t>Pre Development Diligence</t>
        </is>
      </c>
      <c r="C7" s="7" t="n"/>
      <c r="D7" s="58" t="n">
        <v>400000</v>
      </c>
      <c r="E7" s="58" t="n">
        <v>600000</v>
      </c>
      <c r="F7" s="58" t="n">
        <v>1200000</v>
      </c>
      <c r="G7" s="7" t="n"/>
      <c r="H7" s="15">
        <f>INDEX(D7:F7,CaseNo)</f>
        <v/>
      </c>
      <c r="I7" s="15">
        <f>H7/MW_IT</f>
        <v/>
      </c>
      <c r="J7" s="28">
        <f>H7/TotalProjectCost</f>
        <v/>
      </c>
    </row>
    <row r="8">
      <c r="B8" s="4" t="inlineStr">
        <is>
          <t>HARD COST</t>
        </is>
      </c>
      <c r="C8" s="5" t="n"/>
      <c r="D8" s="5" t="n"/>
      <c r="E8" s="5" t="n"/>
      <c r="F8" s="5" t="n"/>
      <c r="G8" s="5" t="n"/>
      <c r="H8" s="5" t="n"/>
      <c r="I8" s="5" t="n"/>
      <c r="J8" s="5" t="n"/>
    </row>
    <row r="9">
      <c r="B9" s="6" t="inlineStr">
        <is>
          <t>Site Work and Civil</t>
        </is>
      </c>
      <c r="C9" s="7" t="n"/>
      <c r="D9" s="58" t="n">
        <v>1200000</v>
      </c>
      <c r="E9" s="58" t="n">
        <v>2000000</v>
      </c>
      <c r="F9" s="58" t="n">
        <v>3500000</v>
      </c>
      <c r="G9" s="7" t="n"/>
      <c r="H9" s="15">
        <f>INDEX(D9:F9,CaseNo)</f>
        <v/>
      </c>
      <c r="I9" s="15">
        <f>H9/MW_IT</f>
        <v/>
      </c>
      <c r="J9" s="28">
        <f>H9/TotalProjectCost</f>
        <v/>
      </c>
    </row>
    <row r="10">
      <c r="B10" s="9" t="inlineStr">
        <is>
          <t>Utility Interconnection and MV Yard</t>
        </is>
      </c>
      <c r="D10" s="49" t="n">
        <v>500000</v>
      </c>
      <c r="E10" s="49" t="n">
        <v>1500000</v>
      </c>
      <c r="F10" s="49" t="n">
        <v>6000000</v>
      </c>
      <c r="H10" s="20">
        <f>INDEX(D10:F10,CaseNo)</f>
        <v/>
      </c>
      <c r="I10" s="20">
        <f>H10/MW_IT</f>
        <v/>
      </c>
      <c r="J10" s="57">
        <f>H10/TotalProjectCost</f>
        <v/>
      </c>
    </row>
    <row r="11">
      <c r="B11" s="6" t="inlineStr">
        <is>
          <t>Module Price Escalation (% of base scope)</t>
        </is>
      </c>
      <c r="C11" s="7" t="n"/>
      <c r="D11" s="59" t="n">
        <v>0</v>
      </c>
      <c r="E11" s="59" t="n">
        <v>0</v>
      </c>
      <c r="F11" s="59" t="n">
        <v>0.09</v>
      </c>
      <c r="G11" s="7" t="n"/>
      <c r="H11" s="28">
        <f>INDEX(D11:F11,CaseNo)</f>
        <v/>
      </c>
      <c r="I11" s="7" t="n"/>
      <c r="J11" s="7" t="n"/>
    </row>
    <row r="12">
      <c r="B12" s="9" t="inlineStr">
        <is>
          <t>Modular Data Center Units</t>
        </is>
      </c>
      <c r="D12" s="20">
        <f>ModuleScope*(1+D11)</f>
        <v/>
      </c>
      <c r="E12" s="20">
        <f>ModuleScope*(1+E11)</f>
        <v/>
      </c>
      <c r="F12" s="20">
        <f>ModuleScope*(1+F11)</f>
        <v/>
      </c>
      <c r="H12" s="20">
        <f>INDEX(D12:F12,CaseNo)</f>
        <v/>
      </c>
      <c r="I12" s="20">
        <f>H12/MW_IT</f>
        <v/>
      </c>
      <c r="J12" s="57">
        <f>H12/TotalProjectCost</f>
        <v/>
      </c>
    </row>
    <row r="13">
      <c r="B13" s="6" t="inlineStr">
        <is>
          <t>Fiber and Network Entry</t>
        </is>
      </c>
      <c r="C13" s="7" t="n"/>
      <c r="D13" s="58" t="n">
        <v>400000</v>
      </c>
      <c r="E13" s="58" t="n">
        <v>1000000</v>
      </c>
      <c r="F13" s="58" t="n">
        <v>2000000</v>
      </c>
      <c r="G13" s="7" t="n"/>
      <c r="H13" s="15">
        <f>INDEX(D13:F13,CaseNo)</f>
        <v/>
      </c>
      <c r="I13" s="15">
        <f>H13/MW_IT</f>
        <v/>
      </c>
      <c r="J13" s="28">
        <f>H13/TotalProjectCost</f>
        <v/>
      </c>
    </row>
    <row r="14">
      <c r="B14" s="9" t="inlineStr">
        <is>
          <t>Security Systems, FF&amp;E and NOC Fit Out</t>
        </is>
      </c>
      <c r="D14" s="49" t="n">
        <v>300000</v>
      </c>
      <c r="E14" s="49" t="n">
        <v>500000</v>
      </c>
      <c r="F14" s="49" t="n">
        <v>800000</v>
      </c>
      <c r="H14" s="20">
        <f>INDEX(D14:F14,CaseNo)</f>
        <v/>
      </c>
      <c r="I14" s="20">
        <f>H14/MW_IT</f>
        <v/>
      </c>
      <c r="J14" s="57">
        <f>H14/TotalProjectCost</f>
        <v/>
      </c>
    </row>
    <row r="15">
      <c r="B15" s="60" t="inlineStr">
        <is>
          <t>Total Hard Cost</t>
        </is>
      </c>
      <c r="C15" s="61" t="n"/>
      <c r="D15" s="62">
        <f>D9+D10+D12+D13+D14</f>
        <v/>
      </c>
      <c r="E15" s="62">
        <f>E9+E10+E12+E13+E14</f>
        <v/>
      </c>
      <c r="F15" s="62">
        <f>F9+F10+F12+F13+F14</f>
        <v/>
      </c>
      <c r="G15" s="61" t="n"/>
      <c r="H15" s="62">
        <f>H9+H10+H12+H13+H14</f>
        <v/>
      </c>
      <c r="I15" s="62">
        <f>H15/MW_IT</f>
        <v/>
      </c>
      <c r="J15" s="63">
        <f>H15/TotalProjectCost</f>
        <v/>
      </c>
    </row>
    <row r="16">
      <c r="B16" s="4" t="inlineStr">
        <is>
          <t>SOFT COST</t>
        </is>
      </c>
      <c r="C16" s="5" t="n"/>
      <c r="D16" s="5" t="n"/>
      <c r="E16" s="5" t="n"/>
      <c r="F16" s="5" t="n"/>
      <c r="G16" s="5" t="n"/>
      <c r="H16" s="5" t="n"/>
      <c r="I16" s="5" t="n"/>
      <c r="J16" s="5" t="n"/>
    </row>
    <row r="17">
      <c r="B17" s="6" t="inlineStr">
        <is>
          <t>A&amp;E, Owner's Costs and Development Management</t>
        </is>
      </c>
      <c r="C17" s="7" t="n"/>
      <c r="D17" s="58" t="n">
        <v>700000</v>
      </c>
      <c r="E17" s="58" t="n">
        <v>1000000</v>
      </c>
      <c r="F17" s="58" t="n">
        <v>1800000</v>
      </c>
      <c r="G17" s="7" t="n"/>
      <c r="H17" s="15">
        <f>INDEX(D17:F17,CaseNo)</f>
        <v/>
      </c>
      <c r="I17" s="15">
        <f>H17/MW_IT</f>
        <v/>
      </c>
      <c r="J17" s="28">
        <f>H17/TotalProjectCost</f>
        <v/>
      </c>
    </row>
    <row r="18">
      <c r="B18" s="9" t="inlineStr">
        <is>
          <t>Permits, Impact Fees and Utility Deposits</t>
        </is>
      </c>
      <c r="D18" s="49" t="n">
        <v>300000</v>
      </c>
      <c r="E18" s="49" t="n">
        <v>500000</v>
      </c>
      <c r="F18" s="49" t="n">
        <v>1000000</v>
      </c>
      <c r="H18" s="20">
        <f>INDEX(D18:F18,CaseNo)</f>
        <v/>
      </c>
      <c r="I18" s="20">
        <f>H18/MW_IT</f>
        <v/>
      </c>
      <c r="J18" s="57">
        <f>H18/TotalProjectCost</f>
        <v/>
      </c>
    </row>
    <row r="19">
      <c r="B19" s="6" t="inlineStr">
        <is>
          <t>Closing Costs, Title, Builder's Risk and Taxes</t>
        </is>
      </c>
      <c r="C19" s="7" t="n"/>
      <c r="D19" s="58" t="n">
        <v>500000</v>
      </c>
      <c r="E19" s="58" t="n">
        <v>800000</v>
      </c>
      <c r="F19" s="58" t="n">
        <v>1200000</v>
      </c>
      <c r="G19" s="7" t="n"/>
      <c r="H19" s="15">
        <f>INDEX(D19:F19,CaseNo)</f>
        <v/>
      </c>
      <c r="I19" s="15">
        <f>H19/MW_IT</f>
        <v/>
      </c>
      <c r="J19" s="28">
        <f>H19/TotalProjectCost</f>
        <v/>
      </c>
    </row>
    <row r="20">
      <c r="B20" s="60" t="inlineStr">
        <is>
          <t>Total Soft Cost</t>
        </is>
      </c>
      <c r="C20" s="61" t="n"/>
      <c r="D20" s="62">
        <f>D17+D18+D19</f>
        <v/>
      </c>
      <c r="E20" s="62">
        <f>E17+E18+E19</f>
        <v/>
      </c>
      <c r="F20" s="62">
        <f>F17+F18+F19</f>
        <v/>
      </c>
      <c r="G20" s="61" t="n"/>
      <c r="H20" s="62">
        <f>H17+H18+H19</f>
        <v/>
      </c>
      <c r="I20" s="62">
        <f>H20/MW_IT</f>
        <v/>
      </c>
      <c r="J20" s="63">
        <f>H20/TotalProjectCost</f>
        <v/>
      </c>
    </row>
    <row r="21">
      <c r="B21" s="4" t="inlineStr">
        <is>
          <t>CONTINGENCY AND RESERVES</t>
        </is>
      </c>
      <c r="C21" s="5" t="n"/>
      <c r="D21" s="5" t="n"/>
      <c r="E21" s="5" t="n"/>
      <c r="F21" s="5" t="n"/>
      <c r="G21" s="5" t="n"/>
      <c r="H21" s="5" t="n"/>
      <c r="I21" s="5" t="n"/>
      <c r="J21" s="5" t="n"/>
    </row>
    <row r="22">
      <c r="B22" s="9" t="inlineStr">
        <is>
          <t>Contingency (% of hard cost)</t>
        </is>
      </c>
      <c r="D22" s="50" t="n">
        <v>0.08</v>
      </c>
      <c r="E22" s="50" t="n">
        <v>0.1</v>
      </c>
      <c r="F22" s="50" t="n">
        <v>0.12</v>
      </c>
      <c r="H22" s="57">
        <f>INDEX(D22:F22,CaseNo)</f>
        <v/>
      </c>
    </row>
    <row r="23">
      <c r="B23" s="6" t="inlineStr">
        <is>
          <t>Construction Contingency</t>
        </is>
      </c>
      <c r="C23" s="7" t="n"/>
      <c r="D23" s="15">
        <f>D15*D22</f>
        <v/>
      </c>
      <c r="E23" s="15">
        <f>E15*E22</f>
        <v/>
      </c>
      <c r="F23" s="15">
        <f>F15*F22</f>
        <v/>
      </c>
      <c r="G23" s="7" t="n"/>
      <c r="H23" s="15">
        <f>INDEX(D23:F23,CaseNo)</f>
        <v/>
      </c>
      <c r="I23" s="15">
        <f>H23/MW_IT</f>
        <v/>
      </c>
      <c r="J23" s="28">
        <f>H23/TotalProjectCost</f>
        <v/>
      </c>
    </row>
    <row r="24">
      <c r="B24" s="9" t="inlineStr">
        <is>
          <t>Operating and Lease Up Reserve</t>
        </is>
      </c>
      <c r="D24" s="49" t="n">
        <v>500000</v>
      </c>
      <c r="E24" s="49" t="n">
        <v>1000000</v>
      </c>
      <c r="F24" s="49" t="n">
        <v>1500000</v>
      </c>
      <c r="H24" s="20">
        <f>INDEX(D24:F24,CaseNo)</f>
        <v/>
      </c>
      <c r="I24" s="20">
        <f>H24/MW_IT</f>
        <v/>
      </c>
      <c r="J24" s="57">
        <f>H24/TotalProjectCost</f>
        <v/>
      </c>
    </row>
    <row r="25"/>
    <row r="26">
      <c r="B26" s="64" t="inlineStr">
        <is>
          <t>PROJECT COST BEFORE FINANCING COSTS</t>
        </is>
      </c>
      <c r="C26" s="2" t="n"/>
      <c r="D26" s="65">
        <f>D6+D7+D15+D20+D23+D24</f>
        <v/>
      </c>
      <c r="E26" s="65">
        <f>E6+E7+E15+E20+E23+E24</f>
        <v/>
      </c>
      <c r="F26" s="65">
        <f>F6+F7+F15+F20+F23+F24</f>
        <v/>
      </c>
      <c r="G26" s="2" t="n"/>
      <c r="H26" s="65">
        <f>H6+H7+H15+H20+H23+H24</f>
        <v/>
      </c>
      <c r="I26" s="65">
        <f>H26/MW_IT</f>
        <v/>
      </c>
      <c r="J26" s="66">
        <f>H26/TotalProjectCost</f>
        <v/>
      </c>
    </row>
    <row r="27"/>
    <row r="28">
      <c r="B28" s="4" t="inlineStr">
        <is>
          <t>FINANCING COSTS, CAPITALISED INTO THE LOAN COMMITMENTS</t>
        </is>
      </c>
      <c r="C28" s="5" t="n"/>
      <c r="D28" s="5" t="n"/>
      <c r="E28" s="5" t="n"/>
      <c r="F28" s="5" t="n"/>
      <c r="G28" s="5" t="n"/>
      <c r="H28" s="5" t="n"/>
      <c r="I28" s="5" t="n"/>
      <c r="J28" s="5" t="n"/>
    </row>
    <row r="29">
      <c r="B29" s="6" t="inlineStr">
        <is>
          <t>Senior Origination Fee</t>
        </is>
      </c>
      <c r="C29" s="7" t="n"/>
      <c r="D29" s="15">
        <f>D26*LTC*OrigFee</f>
        <v/>
      </c>
      <c r="E29" s="15">
        <f>E26*LTC*OrigFee</f>
        <v/>
      </c>
      <c r="F29" s="15">
        <f>F26*LTC*OrigFee</f>
        <v/>
      </c>
      <c r="G29" s="7" t="n"/>
      <c r="H29" s="15">
        <f>INDEX(D29:F29,CaseNo)</f>
        <v/>
      </c>
      <c r="I29" s="15">
        <f>H29/MW_IT</f>
        <v/>
      </c>
      <c r="J29" s="28">
        <f>H29/TotalProjectCost</f>
        <v/>
      </c>
    </row>
    <row r="30">
      <c r="B30" s="9" t="inlineStr">
        <is>
          <t>Senior Interest During Construction</t>
        </is>
      </c>
      <c r="D30" s="20">
        <f>IdcFactorSnr*D26</f>
        <v/>
      </c>
      <c r="E30" s="20">
        <f>IdcFactorSnr*E26</f>
        <v/>
      </c>
      <c r="F30" s="20">
        <f>IdcFactorSnr*F26</f>
        <v/>
      </c>
      <c r="H30" s="20">
        <f>INDEX(D30:F30,CaseNo)</f>
        <v/>
      </c>
      <c r="I30" s="20">
        <f>H30/MW_IT</f>
        <v/>
      </c>
      <c r="J30" s="57">
        <f>H30/TotalProjectCost</f>
        <v/>
      </c>
    </row>
    <row r="31">
      <c r="B31" s="6" t="inlineStr">
        <is>
          <t>C-PACE Capitalised Interest During Construction</t>
        </is>
      </c>
      <c r="C31" s="7" t="n"/>
      <c r="D31" s="15">
        <f>IdcFactorPace*D26</f>
        <v/>
      </c>
      <c r="E31" s="15">
        <f>IdcFactorPace*E26</f>
        <v/>
      </c>
      <c r="F31" s="15">
        <f>IdcFactorPace*F26</f>
        <v/>
      </c>
      <c r="G31" s="7" t="n"/>
      <c r="H31" s="15">
        <f>INDEX(D31:F31,CaseNo)</f>
        <v/>
      </c>
      <c r="I31" s="15">
        <f>H31/MW_IT</f>
        <v/>
      </c>
      <c r="J31" s="28">
        <f>H31/TotalProjectCost</f>
        <v/>
      </c>
    </row>
    <row r="32">
      <c r="B32" s="60" t="inlineStr">
        <is>
          <t>Total Financing Costs</t>
        </is>
      </c>
      <c r="C32" s="61" t="n"/>
      <c r="D32" s="62">
        <f>D29+D30+D31</f>
        <v/>
      </c>
      <c r="E32" s="62">
        <f>E29+E30+E31</f>
        <v/>
      </c>
      <c r="F32" s="62">
        <f>F29+F30+F31</f>
        <v/>
      </c>
      <c r="G32" s="61" t="n"/>
      <c r="H32" s="62">
        <f>H29+H30+H31</f>
        <v/>
      </c>
      <c r="I32" s="62">
        <f>H32/MW_IT</f>
        <v/>
      </c>
      <c r="J32" s="63">
        <f>H32/TotalProjectCost</f>
        <v/>
      </c>
    </row>
    <row r="33"/>
    <row r="34">
      <c r="B34" s="64" t="inlineStr">
        <is>
          <t>TOTAL PROJECT COST</t>
        </is>
      </c>
      <c r="C34" s="2" t="n"/>
      <c r="D34" s="65">
        <f>D26+D32</f>
        <v/>
      </c>
      <c r="E34" s="65">
        <f>E26+E32</f>
        <v/>
      </c>
      <c r="F34" s="65">
        <f>F26+F32</f>
        <v/>
      </c>
      <c r="G34" s="2" t="n"/>
      <c r="H34" s="65">
        <f>H26+H32</f>
        <v/>
      </c>
      <c r="I34" s="65">
        <f>H34/MW_IT</f>
        <v/>
      </c>
      <c r="J34" s="66">
        <f>H34/TotalProjectCost</f>
        <v/>
      </c>
    </row>
    <row r="35"/>
    <row r="36">
      <c r="B36" s="4" t="inlineStr">
        <is>
          <t>MEMO</t>
        </is>
      </c>
      <c r="C36" s="5" t="n"/>
      <c r="D36" s="5" t="n"/>
      <c r="E36" s="5" t="n"/>
      <c r="F36" s="5" t="n"/>
      <c r="G36" s="5" t="n"/>
      <c r="H36" s="5" t="n"/>
      <c r="I36" s="5" t="n"/>
      <c r="J36" s="5" t="n"/>
    </row>
    <row r="37">
      <c r="B37" s="6" t="inlineStr">
        <is>
          <t>Total Project Cost per MW of Critical IT Load</t>
        </is>
      </c>
      <c r="C37" s="7" t="n"/>
      <c r="D37" s="7" t="n"/>
      <c r="E37" s="7" t="n"/>
      <c r="F37" s="7" t="n"/>
      <c r="G37" s="7" t="n"/>
      <c r="H37" s="15">
        <f>H34/MW_IT</f>
        <v/>
      </c>
      <c r="I37" s="7" t="n"/>
      <c r="J37" s="7" t="n"/>
    </row>
    <row r="38">
      <c r="B38" s="9" t="inlineStr">
        <is>
          <t>Total Project Cost per kW of Critical IT Load</t>
        </is>
      </c>
      <c r="H38" s="20">
        <f>H34/KW_IT</f>
        <v/>
      </c>
    </row>
    <row r="39">
      <c r="B39" s="6" t="inlineStr">
        <is>
          <t>Module Scope as a % of Total Project Cost</t>
        </is>
      </c>
      <c r="C39" s="7" t="n"/>
      <c r="D39" s="7" t="n"/>
      <c r="E39" s="7" t="n"/>
      <c r="F39" s="7" t="n"/>
      <c r="G39" s="7" t="n"/>
      <c r="H39" s="28">
        <f>H12/H34</f>
        <v/>
      </c>
      <c r="I39" s="7" t="n"/>
      <c r="J39" s="7" t="n"/>
    </row>
    <row r="40">
      <c r="B40" s="9" t="inlineStr">
        <is>
          <t>Hard Cost as a % of Total Project Cost</t>
        </is>
      </c>
      <c r="H40" s="57">
        <f>H15/H34</f>
        <v/>
      </c>
    </row>
    <row r="41">
      <c r="B41" s="6" t="inlineStr">
        <is>
          <t>Contingency as a % of Total Project Cost</t>
        </is>
      </c>
      <c r="C41" s="7" t="n"/>
      <c r="D41" s="7" t="n"/>
      <c r="E41" s="7" t="n"/>
      <c r="F41" s="7" t="n"/>
      <c r="G41" s="7" t="n"/>
      <c r="H41" s="28">
        <f>H23/H34</f>
        <v/>
      </c>
      <c r="I41" s="7" t="n"/>
      <c r="J41" s="7" t="n"/>
    </row>
    <row r="42">
      <c r="B42" s="9" t="inlineStr">
        <is>
          <t>Low Case Total Project Cost per MW</t>
        </is>
      </c>
      <c r="H42" s="20">
        <f>D34/MW_IT</f>
        <v/>
      </c>
    </row>
    <row r="43">
      <c r="B43" s="6" t="inlineStr">
        <is>
          <t>High Case Total Project Cost per MW</t>
        </is>
      </c>
      <c r="C43" s="7" t="n"/>
      <c r="D43" s="7" t="n"/>
      <c r="E43" s="7" t="n"/>
      <c r="F43" s="7" t="n"/>
      <c r="G43" s="7" t="n"/>
      <c r="H43" s="15">
        <f>F34/MW_IT</f>
        <v/>
      </c>
      <c r="I43" s="7" t="n"/>
      <c r="J43" s="7" t="n"/>
    </row>
    <row r="44"/>
    <row r="45">
      <c r="B45" s="3" t="inlineStr">
        <is>
          <t>Source: OEM indicative quote for the module scope at $7.5M per MW. All other lines are desk estimates benchmarked to 2025 and 2026 wholesale and modular build pricing of $9.0M to $15.0M per MW all in, excluding IT hardware.</t>
        </is>
      </c>
    </row>
    <row r="46">
      <c r="B46" s="3" t="inlineStr">
        <is>
          <t>Excluded from this build: tenant IT hardware. A 5 MW fleet of current generation AI accelerators runs $150M to $250M and a general purpose enterprise fleet runs $40M to $80M, in both cases a multiple of the facility cost above.</t>
        </is>
      </c>
    </row>
    <row r="47">
      <c r="B47" s="3" t="inlineStr">
        <is>
          <t>Confirm with the OEM in writing whether the module quote includes backup generation, fuel storage, the chilled water plant, freight and rigging, field commissioning and sales tax. Those exclusions drive the entire spread between the Low and High columns.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2.4" customWidth="1" min="1" max="1"/>
    <col width="45" customWidth="1" min="2" max="2"/>
    <col width="1.5" customWidth="1" min="3" max="3"/>
    <col width="15" customWidth="1" min="4" max="4"/>
    <col width="11" customWidth="1" min="5" max="5"/>
    <col width="20" customWidth="1" min="6" max="6"/>
    <col width="1.5" customWidth="1" min="7" max="7"/>
    <col width="15" customWidth="1" min="8" max="8"/>
    <col width="11" customWidth="1" min="9" max="9"/>
    <col width="20" customWidth="1" min="10" max="10"/>
  </cols>
  <sheetData>
    <row r="1" ht="20" customHeight="1">
      <c r="B1" s="1" t="inlineStr">
        <is>
          <t>SOURCES OF FUNDS   |   CAPITAL STACK ALTERNATIVES</t>
        </is>
      </c>
      <c r="C1" s="2" t="n"/>
      <c r="D1" s="2" t="n"/>
      <c r="E1" s="2" t="n"/>
      <c r="F1" s="2" t="n"/>
      <c r="G1" s="2" t="n"/>
      <c r="H1" s="2" t="n"/>
      <c r="I1" s="2" t="n"/>
      <c r="J1" s="2" t="n"/>
    </row>
    <row r="2">
      <c r="B2" s="3" t="inlineStr">
        <is>
          <t>Structure A is the real estate led stack and is the structure carried through the Debt Schedule and Returns tabs. Structure B is presented for comparison only.</t>
        </is>
      </c>
    </row>
    <row r="3"/>
    <row r="4">
      <c r="D4" s="67" t="inlineStr">
        <is>
          <t>STRUCTURE A   REAL ESTATE LED</t>
        </is>
      </c>
      <c r="E4" s="67" t="n"/>
      <c r="F4" s="67" t="n"/>
      <c r="H4" s="67" t="inlineStr">
        <is>
          <t>STRUCTURE B   EQUIPMENT FINANCE LED</t>
        </is>
      </c>
      <c r="I4" s="67" t="n"/>
      <c r="J4" s="67" t="n"/>
    </row>
    <row r="5" ht="28" customHeight="1">
      <c r="B5" s="1" t="inlineStr">
        <is>
          <t>Source</t>
        </is>
      </c>
      <c r="C5" s="56" t="inlineStr"/>
      <c r="D5" s="56" t="inlineStr">
        <is>
          <t>Amount</t>
        </is>
      </c>
      <c r="E5" s="56" t="inlineStr">
        <is>
          <t>% of Cost</t>
        </is>
      </c>
      <c r="F5" s="56" t="inlineStr">
        <is>
          <t>Pricing</t>
        </is>
      </c>
      <c r="G5" s="56" t="inlineStr"/>
      <c r="H5" s="56" t="inlineStr">
        <is>
          <t>Amount</t>
        </is>
      </c>
      <c r="I5" s="56" t="inlineStr">
        <is>
          <t>% of Cost</t>
        </is>
      </c>
      <c r="J5" s="56" t="inlineStr">
        <is>
          <t>Pricing</t>
        </is>
      </c>
    </row>
    <row r="6">
      <c r="B6" s="4" t="inlineStr">
        <is>
          <t>SENIOR SECURED DEBT</t>
        </is>
      </c>
      <c r="C6" s="5" t="n"/>
      <c r="D6" s="5" t="n"/>
      <c r="E6" s="5" t="n"/>
      <c r="F6" s="5" t="n"/>
      <c r="G6" s="5" t="n"/>
      <c r="H6" s="5" t="n"/>
      <c r="I6" s="5" t="n"/>
      <c r="J6" s="5" t="n"/>
    </row>
    <row r="7">
      <c r="B7" s="6" t="inlineStr">
        <is>
          <t>Construction Loan on Cost</t>
        </is>
      </c>
      <c r="C7" s="7" t="n"/>
      <c r="D7" s="15">
        <f>PCBF*LTC</f>
        <v/>
      </c>
      <c r="E7" s="28">
        <f>D7/TotalProjectCost</f>
        <v/>
      </c>
      <c r="F7" s="68" t="inlineStr">
        <is>
          <t>SOFR + 425 bps</t>
        </is>
      </c>
      <c r="G7" s="7" t="n"/>
      <c r="H7" s="15">
        <f>RealPropertyCost*LTC_B</f>
        <v/>
      </c>
      <c r="I7" s="28">
        <f>H7/TotalProjectCost</f>
        <v/>
      </c>
      <c r="J7" s="68" t="inlineStr">
        <is>
          <t>SOFR + 400 bps</t>
        </is>
      </c>
    </row>
    <row r="8">
      <c r="B8" s="9" t="inlineStr">
        <is>
          <t>Add: Capitalised Origination Fee</t>
        </is>
      </c>
      <c r="D8" s="14">
        <f>SelSnrFee</f>
        <v/>
      </c>
      <c r="E8" s="57">
        <f>D8/TotalProjectCost</f>
        <v/>
      </c>
      <c r="F8" s="69" t="inlineStr">
        <is>
          <t>1.25% of commitment</t>
        </is>
      </c>
      <c r="H8" s="20">
        <f>H7*OrigFee</f>
        <v/>
      </c>
      <c r="I8" s="57">
        <f>H8/TotalProjectCost</f>
        <v/>
      </c>
      <c r="J8" s="69" t="inlineStr">
        <is>
          <t>1.25% of commitment</t>
        </is>
      </c>
    </row>
    <row r="9">
      <c r="B9" s="6" t="inlineStr">
        <is>
          <t>Add: Capitalised Interest Reserve</t>
        </is>
      </c>
      <c r="C9" s="7" t="n"/>
      <c r="D9" s="13">
        <f>SelIdcSenior</f>
        <v/>
      </c>
      <c r="E9" s="28">
        <f>D9/TotalProjectCost</f>
        <v/>
      </c>
      <c r="F9" s="68" t="inlineStr">
        <is>
          <t>Interest only to refinance</t>
        </is>
      </c>
      <c r="G9" s="7" t="n"/>
      <c r="H9" s="15">
        <f>H7*IdcFactorSnr/LTC</f>
        <v/>
      </c>
      <c r="I9" s="28">
        <f>H9/TotalProjectCost</f>
        <v/>
      </c>
      <c r="J9" s="68" t="inlineStr">
        <is>
          <t>Interest only to refinance</t>
        </is>
      </c>
    </row>
    <row r="10">
      <c r="B10" s="60" t="inlineStr">
        <is>
          <t>Total Senior Commitment</t>
        </is>
      </c>
      <c r="C10" s="61" t="n"/>
      <c r="D10" s="62">
        <f>SUM(D7:D9)</f>
        <v/>
      </c>
      <c r="E10" s="63">
        <f>D10/TotalProjectCost</f>
        <v/>
      </c>
      <c r="F10" s="61" t="n"/>
      <c r="G10" s="61" t="n"/>
      <c r="H10" s="62">
        <f>SUM(H7:H9)</f>
        <v/>
      </c>
      <c r="I10" s="63">
        <f>H10/TotalProjectCost</f>
        <v/>
      </c>
      <c r="J10" s="61" t="n"/>
    </row>
    <row r="11"/>
    <row r="12">
      <c r="B12" s="4" t="inlineStr">
        <is>
          <t>SUBORDINATE AND ASSET LEVEL DEBT</t>
        </is>
      </c>
      <c r="C12" s="5" t="n"/>
      <c r="D12" s="5" t="n"/>
      <c r="E12" s="5" t="n"/>
      <c r="F12" s="5" t="n"/>
      <c r="G12" s="5" t="n"/>
      <c r="H12" s="5" t="n"/>
      <c r="I12" s="5" t="n"/>
      <c r="J12" s="5" t="n"/>
    </row>
    <row r="13">
      <c r="B13" s="6" t="inlineStr">
        <is>
          <t>C-PACE Assessment</t>
        </is>
      </c>
      <c r="C13" s="7" t="n"/>
      <c r="D13" s="15">
        <f>PCBF*PacePct</f>
        <v/>
      </c>
      <c r="E13" s="28">
        <f>D13/TotalProjectCost</f>
        <v/>
      </c>
      <c r="F13" s="68" t="inlineStr">
        <is>
          <t>7.50% fixed, 25 years</t>
        </is>
      </c>
      <c r="G13" s="7" t="n"/>
      <c r="H13" s="7" t="n"/>
      <c r="I13" s="7" t="n"/>
      <c r="J13" s="70" t="inlineStr">
        <is>
          <t>n/a</t>
        </is>
      </c>
    </row>
    <row r="14">
      <c r="B14" s="9" t="inlineStr">
        <is>
          <t>Add: Capitalised Interest</t>
        </is>
      </c>
      <c r="D14" s="14">
        <f>SelIdcPace</f>
        <v/>
      </c>
      <c r="E14" s="57">
        <f>D14/TotalProjectCost</f>
        <v/>
      </c>
      <c r="F14" s="69" t="inlineStr">
        <is>
          <t>Capitalised to completion</t>
        </is>
      </c>
      <c r="J14" s="71" t="inlineStr">
        <is>
          <t>n/a</t>
        </is>
      </c>
    </row>
    <row r="15">
      <c r="B15" s="60" t="inlineStr">
        <is>
          <t>Total C-PACE Commitment</t>
        </is>
      </c>
      <c r="C15" s="61" t="n"/>
      <c r="D15" s="62">
        <f>D13+D14</f>
        <v/>
      </c>
      <c r="E15" s="63">
        <f>D15/TotalProjectCost</f>
        <v/>
      </c>
      <c r="F15" s="61" t="n"/>
      <c r="G15" s="61" t="n"/>
      <c r="H15" s="62">
        <f>0</f>
        <v/>
      </c>
      <c r="I15" s="63">
        <f>H15/TotalProjectCost</f>
        <v/>
      </c>
      <c r="J15" s="61" t="n"/>
    </row>
    <row r="16"/>
    <row r="17">
      <c r="B17" s="6" t="inlineStr">
        <is>
          <t>Equipment Finance on Module Scope</t>
        </is>
      </c>
      <c r="C17" s="7" t="n"/>
      <c r="D17" s="15">
        <f>0</f>
        <v/>
      </c>
      <c r="E17" s="28">
        <f>D17/TotalProjectCost</f>
        <v/>
      </c>
      <c r="F17" s="70" t="inlineStr">
        <is>
          <t>n/a</t>
        </is>
      </c>
      <c r="G17" s="7" t="n"/>
      <c r="H17" s="15">
        <f>SelModules*EqpAdvance</f>
        <v/>
      </c>
      <c r="I17" s="28">
        <f>H17/TotalProjectCost</f>
        <v/>
      </c>
      <c r="J17" s="68" t="inlineStr">
        <is>
          <t>10.0%, 7 years</t>
        </is>
      </c>
    </row>
    <row r="18">
      <c r="B18" s="9" t="inlineStr">
        <is>
          <t>Add: Capitalised Interest</t>
        </is>
      </c>
      <c r="D18" s="20">
        <f>0</f>
        <v/>
      </c>
      <c r="E18" s="57">
        <f>D18/TotalProjectCost</f>
        <v/>
      </c>
      <c r="F18" s="71" t="inlineStr">
        <is>
          <t>n/a</t>
        </is>
      </c>
      <c r="H18" s="20">
        <f>H17*EqpIdcPct</f>
        <v/>
      </c>
      <c r="I18" s="57">
        <f>H18/TotalProjectCost</f>
        <v/>
      </c>
      <c r="J18" s="69" t="inlineStr">
        <is>
          <t>Short delivery carry</t>
        </is>
      </c>
    </row>
    <row r="19">
      <c r="B19" s="60" t="inlineStr">
        <is>
          <t>Total Equipment Finance</t>
        </is>
      </c>
      <c r="C19" s="61" t="n"/>
      <c r="D19" s="62">
        <f>0</f>
        <v/>
      </c>
      <c r="E19" s="63">
        <f>D19/TotalProjectCost</f>
        <v/>
      </c>
      <c r="F19" s="61" t="n"/>
      <c r="G19" s="61" t="n"/>
      <c r="H19" s="62">
        <f>H17+H18</f>
        <v/>
      </c>
      <c r="I19" s="63">
        <f>H19/TotalProjectCost</f>
        <v/>
      </c>
      <c r="J19" s="61" t="n"/>
    </row>
    <row r="20"/>
    <row r="21">
      <c r="B21" s="60" t="inlineStr">
        <is>
          <t>TOTAL DEBT</t>
        </is>
      </c>
      <c r="C21" s="61" t="n"/>
      <c r="D21" s="62">
        <f>D10+D15+D19</f>
        <v/>
      </c>
      <c r="E21" s="63">
        <f>D21/TotalProjectCost</f>
        <v/>
      </c>
      <c r="F21" s="61" t="n"/>
      <c r="G21" s="61" t="n"/>
      <c r="H21" s="62">
        <f>H10+H15+H19</f>
        <v/>
      </c>
      <c r="I21" s="63">
        <f>H21/TotalProjectCost</f>
        <v/>
      </c>
      <c r="J21" s="61" t="n"/>
    </row>
    <row r="22"/>
    <row r="23">
      <c r="B23" s="4" t="inlineStr">
        <is>
          <t>EQUITY</t>
        </is>
      </c>
      <c r="C23" s="5" t="n"/>
      <c r="D23" s="5" t="n"/>
      <c r="E23" s="5" t="n"/>
      <c r="F23" s="5" t="n"/>
      <c r="G23" s="5" t="n"/>
      <c r="H23" s="5" t="n"/>
      <c r="I23" s="5" t="n"/>
      <c r="J23" s="5" t="n"/>
    </row>
    <row r="24">
      <c r="B24" s="9" t="inlineStr">
        <is>
          <t>Limited Partner Equity</t>
        </is>
      </c>
      <c r="D24" s="20">
        <f>PCBF*(1-LTC-PacePct)*LPShare</f>
        <v/>
      </c>
      <c r="E24" s="57">
        <f>D24/TotalProjectCost</f>
        <v/>
      </c>
      <c r="F24" s="69" t="inlineStr">
        <is>
          <t>9% pref, 70/30 then 60/40</t>
        </is>
      </c>
      <c r="H24" s="20">
        <f>(TotalProjectCost-H21)*LPShare</f>
        <v/>
      </c>
      <c r="I24" s="57">
        <f>H24/TotalProjectCost</f>
        <v/>
      </c>
      <c r="J24" s="69" t="inlineStr">
        <is>
          <t>9% pref, 70/30 then 60/40</t>
        </is>
      </c>
    </row>
    <row r="25">
      <c r="B25" s="6" t="inlineStr">
        <is>
          <t>Sponsor Co-invest Equity</t>
        </is>
      </c>
      <c r="C25" s="7" t="n"/>
      <c r="D25" s="15">
        <f>PCBF*(1-LTC-PacePct)*GPShare</f>
        <v/>
      </c>
      <c r="E25" s="28">
        <f>D25/TotalProjectCost</f>
        <v/>
      </c>
      <c r="F25" s="68" t="inlineStr">
        <is>
          <t>Promote above the hurdles</t>
        </is>
      </c>
      <c r="G25" s="7" t="n"/>
      <c r="H25" s="15">
        <f>(TotalProjectCost-H21)*GPShare</f>
        <v/>
      </c>
      <c r="I25" s="28">
        <f>H25/TotalProjectCost</f>
        <v/>
      </c>
      <c r="J25" s="68" t="inlineStr">
        <is>
          <t>Promote above the hurdles</t>
        </is>
      </c>
    </row>
    <row r="26">
      <c r="B26" s="60" t="inlineStr">
        <is>
          <t>TOTAL EQUITY</t>
        </is>
      </c>
      <c r="C26" s="61" t="n"/>
      <c r="D26" s="62">
        <f>D24+D25</f>
        <v/>
      </c>
      <c r="E26" s="63">
        <f>D26/TotalProjectCost</f>
        <v/>
      </c>
      <c r="F26" s="61" t="n"/>
      <c r="G26" s="61" t="n"/>
      <c r="H26" s="62">
        <f>H24+H25</f>
        <v/>
      </c>
      <c r="I26" s="63">
        <f>H26/TotalProjectCost</f>
        <v/>
      </c>
      <c r="J26" s="61" t="n"/>
    </row>
    <row r="27"/>
    <row r="28">
      <c r="B28" s="64" t="inlineStr">
        <is>
          <t>TOTAL SOURCES</t>
        </is>
      </c>
      <c r="C28" s="2" t="n"/>
      <c r="D28" s="65">
        <f>D21+D26</f>
        <v/>
      </c>
      <c r="E28" s="66">
        <f>D28/TotalProjectCost</f>
        <v/>
      </c>
      <c r="F28" s="2" t="n"/>
      <c r="G28" s="2" t="n"/>
      <c r="H28" s="65">
        <f>H21+H26</f>
        <v/>
      </c>
      <c r="I28" s="66">
        <f>H28/TotalProjectCost</f>
        <v/>
      </c>
      <c r="J28" s="2" t="n"/>
    </row>
    <row r="29">
      <c r="B29" s="72" t="inlineStr">
        <is>
          <t>Check: Total Sources less Total Project Cost</t>
        </is>
      </c>
      <c r="D29" s="20">
        <f>D28-TotalProjectCost</f>
        <v/>
      </c>
      <c r="H29" s="20">
        <f>H28-TotalProjectCost</f>
        <v/>
      </c>
    </row>
    <row r="30"/>
    <row r="31">
      <c r="B31" s="4" t="inlineStr">
        <is>
          <t>STRUCTURE COMPARISON</t>
        </is>
      </c>
      <c r="C31" s="5" t="n"/>
      <c r="D31" s="5" t="n"/>
      <c r="E31" s="5" t="n"/>
      <c r="F31" s="5" t="n"/>
      <c r="G31" s="5" t="n"/>
      <c r="H31" s="5" t="n"/>
      <c r="I31" s="5" t="n"/>
      <c r="J31" s="5" t="n"/>
    </row>
    <row r="32">
      <c r="B32" s="9" t="inlineStr">
        <is>
          <t>Equity Cheque Required</t>
        </is>
      </c>
      <c r="D32" s="20">
        <f>D26</f>
        <v/>
      </c>
      <c r="H32" s="20">
        <f>H26</f>
        <v/>
      </c>
    </row>
    <row r="33">
      <c r="B33" s="6" t="inlineStr">
        <is>
          <t>Equity as a % of Total Project Cost</t>
        </is>
      </c>
      <c r="C33" s="7" t="n"/>
      <c r="D33" s="28">
        <f>D26/TotalProjectCost</f>
        <v/>
      </c>
      <c r="E33" s="7" t="n"/>
      <c r="F33" s="7" t="n"/>
      <c r="G33" s="7" t="n"/>
      <c r="H33" s="28">
        <f>H26/TotalProjectCost</f>
        <v/>
      </c>
      <c r="I33" s="7" t="n"/>
      <c r="J33" s="7" t="n"/>
    </row>
    <row r="34">
      <c r="B34" s="9" t="inlineStr">
        <is>
          <t>Total Leverage on Cost</t>
        </is>
      </c>
      <c r="D34" s="57">
        <f>D21/TotalProjectCost</f>
        <v/>
      </c>
      <c r="H34" s="57">
        <f>H21/TotalProjectCost</f>
        <v/>
      </c>
    </row>
    <row r="35">
      <c r="B35" s="6" t="inlineStr">
        <is>
          <t>Equity Saving versus Structure A</t>
        </is>
      </c>
      <c r="C35" s="7" t="n"/>
      <c r="D35" s="15">
        <f>0</f>
        <v/>
      </c>
      <c r="E35" s="7" t="n"/>
      <c r="F35" s="7" t="n"/>
      <c r="G35" s="7" t="n"/>
      <c r="H35" s="15">
        <f>D26-H26</f>
        <v/>
      </c>
      <c r="I35" s="7" t="n"/>
      <c r="J35" s="7" t="n"/>
    </row>
    <row r="36">
      <c r="B36" s="9" t="inlineStr">
        <is>
          <t>Blended Cost of Debt</t>
        </is>
      </c>
      <c r="D36" s="73">
        <f>BlendedDebtCostA</f>
        <v/>
      </c>
      <c r="H36" s="73">
        <f>BlendedDebtCostB</f>
        <v/>
      </c>
    </row>
    <row r="37"/>
    <row r="38">
      <c r="B38" s="4" t="inlineStr">
        <is>
          <t>WORKINGS</t>
        </is>
      </c>
      <c r="C38" s="5" t="n"/>
      <c r="D38" s="5" t="n"/>
      <c r="E38" s="5" t="n"/>
      <c r="F38" s="5" t="n"/>
      <c r="G38" s="5" t="n"/>
      <c r="H38" s="5" t="n"/>
      <c r="I38" s="5" t="n"/>
      <c r="J38" s="5" t="n"/>
    </row>
    <row r="39" hidden="1" outlineLevel="1">
      <c r="B39" s="9" t="inlineStr">
        <is>
          <t>Structure A Blended Cost of Debt</t>
        </is>
      </c>
      <c r="D39" s="73">
        <f>(D7*SnrRate+D13*PaceRate)/(D7+D13)</f>
        <v/>
      </c>
    </row>
    <row r="40" hidden="1" outlineLevel="1">
      <c r="B40" s="9" t="inlineStr">
        <is>
          <t>Structure B Blended Cost of Debt</t>
        </is>
      </c>
      <c r="D40" s="73">
        <f>(H7*(SOFR+SpreadB/10000)+H17*EqpRate)/(H7+H17)</f>
        <v/>
      </c>
    </row>
    <row r="41" hidden="1" outlineLevel="1">
      <c r="B41" s="9" t="inlineStr">
        <is>
          <t>Real Property Cost Base, Total Cost less Module Scope</t>
        </is>
      </c>
      <c r="D41" s="20">
        <f>PCBF-SelModules</f>
        <v/>
      </c>
    </row>
    <row r="42"/>
    <row r="43">
      <c r="B43" s="3" t="inlineStr">
        <is>
          <t>Note: Structure A keeps a single collateral pool and one intercreditor relationship. Structure B cuts the equity cheque materially but splits collateral across a mortgage lender and an equipment lessor, which requires an intercreditor agreement and carries a faster amortisation schedule.</t>
        </is>
      </c>
    </row>
    <row r="44">
      <c r="B44" s="3" t="inlineStr">
        <is>
          <t>Note: no senior debt is available on a speculative basis at this size. Both structures assume a signed lease or a letter of intent with a creditworthy tenant is in place at loan closing. Structure B is compared against the same total project cost for a like for like equity comparison, so its equity line absorbs the difference in financing costs.</t>
        </is>
      </c>
    </row>
    <row r="45">
      <c r="B45" s="3" t="inlineStr">
        <is>
          <t>Not modelled as a source but available in most jurisdictions: a sales and use tax exemption on data center equipment worth 4% to 8% of the module scope, property tax abatement, and a transferable 30% investment tax credit on any on site solar, storage or fuel cell capacity.</t>
        </is>
      </c>
    </row>
  </sheetData>
  <pageMargins left="0.75" right="0.75" top="1" bottom="1" header="0.5" footer="0.5"/>
</worksheet>
</file>

<file path=xl/worksheets/sheet5.xml><?xml version="1.0" encoding="utf-8"?>
<worksheet xmlns="http://schemas.openxmlformats.org/spreadsheetml/2006/main">
  <sheetPr>
    <outlinePr summaryBelow="0" summaryRight="1"/>
    <pageSetUpPr/>
  </sheetPr>
  <dimension ref="A1:AB59"/>
  <sheetViews>
    <sheetView showGridLines="0" workbookViewId="0">
      <selection activeCell="A1" sqref="A1"/>
    </sheetView>
  </sheetViews>
  <sheetFormatPr baseColWidth="8" defaultRowHeight="15"/>
  <cols>
    <col width="2.4" customWidth="1" min="1" max="1"/>
    <col width="44" customWidth="1" min="2" max="2"/>
    <col width="1.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s>
  <sheetData>
    <row r="1" ht="20" customHeight="1">
      <c r="B1" s="1" t="inlineStr">
        <is>
          <t>CONSTRUCTION DRAW SCHEDULE   |   MONTHLY, EQUITY FUNDED FIRST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row>
    <row r="2">
      <c r="B2" s="3" t="inlineStr">
        <is>
          <t>Drawn on the Selected cost case. Equity funds the opening cost curve in full, then the senior loan and the C-PACE assessment fund pro rata to their commitments. Interest is capitalised into each commitment.</t>
        </is>
      </c>
    </row>
    <row r="3"/>
    <row r="4" ht="28" customHeight="1">
      <c r="B4" s="1" t="inlineStr">
        <is>
          <t>Month</t>
        </is>
      </c>
      <c r="C4" s="56" t="n"/>
      <c r="D4" s="74" t="n">
        <v>0</v>
      </c>
      <c r="E4" s="74" t="n">
        <v>1</v>
      </c>
      <c r="F4" s="74" t="n">
        <v>2</v>
      </c>
      <c r="G4" s="74" t="n">
        <v>3</v>
      </c>
      <c r="H4" s="74" t="n">
        <v>4</v>
      </c>
      <c r="I4" s="74" t="n">
        <v>5</v>
      </c>
      <c r="J4" s="74" t="n">
        <v>6</v>
      </c>
      <c r="K4" s="74" t="n">
        <v>7</v>
      </c>
      <c r="L4" s="74" t="n">
        <v>8</v>
      </c>
      <c r="M4" s="74" t="n">
        <v>9</v>
      </c>
      <c r="N4" s="74" t="n">
        <v>10</v>
      </c>
      <c r="O4" s="74" t="n">
        <v>11</v>
      </c>
      <c r="P4" s="74" t="n">
        <v>12</v>
      </c>
      <c r="Q4" s="74" t="n">
        <v>13</v>
      </c>
      <c r="R4" s="74" t="n">
        <v>14</v>
      </c>
      <c r="S4" s="74" t="n">
        <v>15</v>
      </c>
      <c r="T4" s="74" t="n">
        <v>16</v>
      </c>
      <c r="U4" s="74" t="n">
        <v>17</v>
      </c>
      <c r="V4" s="74" t="n">
        <v>18</v>
      </c>
      <c r="W4" s="74" t="n">
        <v>19</v>
      </c>
      <c r="X4" s="74" t="n">
        <v>20</v>
      </c>
      <c r="Y4" s="74" t="n">
        <v>21</v>
      </c>
      <c r="Z4" s="74" t="n">
        <v>22</v>
      </c>
      <c r="AA4" s="74" t="n">
        <v>23</v>
      </c>
      <c r="AB4" s="74" t="n">
        <v>24</v>
      </c>
    </row>
    <row r="5"/>
    <row r="6">
      <c r="B6" s="4" t="inlineStr">
        <is>
          <t>COST CURVE</t>
        </is>
      </c>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row>
    <row r="7">
      <c r="B7" s="9" t="inlineStr">
        <is>
          <t>Draw Curve (% of project cost before financing)</t>
        </is>
      </c>
      <c r="D7" s="50" t="n">
        <v>0.1</v>
      </c>
      <c r="E7" s="50" t="n">
        <v>0.03</v>
      </c>
      <c r="F7" s="50" t="n">
        <v>0.03</v>
      </c>
      <c r="G7" s="50" t="n">
        <v>0.03</v>
      </c>
      <c r="H7" s="50" t="n">
        <v>0.05</v>
      </c>
      <c r="I7" s="50" t="n">
        <v>0.05</v>
      </c>
      <c r="J7" s="50" t="n">
        <v>0.05</v>
      </c>
      <c r="K7" s="50" t="n">
        <v>0.07000000000000001</v>
      </c>
      <c r="L7" s="50" t="n">
        <v>0.07000000000000001</v>
      </c>
      <c r="M7" s="50" t="n">
        <v>0.07000000000000001</v>
      </c>
      <c r="N7" s="50" t="n">
        <v>0.07000000000000001</v>
      </c>
      <c r="O7" s="50" t="n">
        <v>0.07000000000000001</v>
      </c>
      <c r="P7" s="50" t="n">
        <v>0.07000000000000001</v>
      </c>
      <c r="Q7" s="50" t="n">
        <v>0.05</v>
      </c>
      <c r="R7" s="50" t="n">
        <v>0.05</v>
      </c>
      <c r="S7" s="50" t="n">
        <v>0.05</v>
      </c>
      <c r="T7" s="50" t="n">
        <v>0.03</v>
      </c>
      <c r="U7" s="50" t="n">
        <v>0.03</v>
      </c>
      <c r="V7" s="50" t="n">
        <v>0.03</v>
      </c>
      <c r="W7" s="50" t="n">
        <v>0</v>
      </c>
      <c r="X7" s="50" t="n">
        <v>0</v>
      </c>
      <c r="Y7" s="50" t="n">
        <v>0</v>
      </c>
      <c r="Z7" s="50" t="n">
        <v>0</v>
      </c>
      <c r="AA7" s="50" t="n">
        <v>0</v>
      </c>
      <c r="AB7" s="50" t="n">
        <v>0</v>
      </c>
    </row>
    <row r="8">
      <c r="B8" s="6" t="inlineStr">
        <is>
          <t>Project Cost Draw</t>
        </is>
      </c>
      <c r="C8" s="7" t="n"/>
      <c r="D8" s="15">
        <f>D7*PCBF</f>
        <v/>
      </c>
      <c r="E8" s="15">
        <f>E7*PCBF</f>
        <v/>
      </c>
      <c r="F8" s="15">
        <f>F7*PCBF</f>
        <v/>
      </c>
      <c r="G8" s="15">
        <f>G7*PCBF</f>
        <v/>
      </c>
      <c r="H8" s="15">
        <f>H7*PCBF</f>
        <v/>
      </c>
      <c r="I8" s="15">
        <f>I7*PCBF</f>
        <v/>
      </c>
      <c r="J8" s="15">
        <f>J7*PCBF</f>
        <v/>
      </c>
      <c r="K8" s="15">
        <f>K7*PCBF</f>
        <v/>
      </c>
      <c r="L8" s="15">
        <f>L7*PCBF</f>
        <v/>
      </c>
      <c r="M8" s="15">
        <f>M7*PCBF</f>
        <v/>
      </c>
      <c r="N8" s="15">
        <f>N7*PCBF</f>
        <v/>
      </c>
      <c r="O8" s="15">
        <f>O7*PCBF</f>
        <v/>
      </c>
      <c r="P8" s="15">
        <f>P7*PCBF</f>
        <v/>
      </c>
      <c r="Q8" s="15">
        <f>Q7*PCBF</f>
        <v/>
      </c>
      <c r="R8" s="15">
        <f>R7*PCBF</f>
        <v/>
      </c>
      <c r="S8" s="15">
        <f>S7*PCBF</f>
        <v/>
      </c>
      <c r="T8" s="15">
        <f>T7*PCBF</f>
        <v/>
      </c>
      <c r="U8" s="15">
        <f>U7*PCBF</f>
        <v/>
      </c>
      <c r="V8" s="15">
        <f>V7*PCBF</f>
        <v/>
      </c>
      <c r="W8" s="15">
        <f>W7*PCBF</f>
        <v/>
      </c>
      <c r="X8" s="15">
        <f>X7*PCBF</f>
        <v/>
      </c>
      <c r="Y8" s="15">
        <f>Y7*PCBF</f>
        <v/>
      </c>
      <c r="Z8" s="15">
        <f>Z7*PCBF</f>
        <v/>
      </c>
      <c r="AA8" s="15">
        <f>AA7*PCBF</f>
        <v/>
      </c>
      <c r="AB8" s="15">
        <f>AB7*PCBF</f>
        <v/>
      </c>
    </row>
    <row r="9">
      <c r="B9" s="9" t="inlineStr">
        <is>
          <t>Cumulative Project Cost Draw</t>
        </is>
      </c>
      <c r="D9" s="20">
        <f>0+D8</f>
        <v/>
      </c>
      <c r="E9" s="20">
        <f>D9+E8</f>
        <v/>
      </c>
      <c r="F9" s="20">
        <f>E9+F8</f>
        <v/>
      </c>
      <c r="G9" s="20">
        <f>F9+G8</f>
        <v/>
      </c>
      <c r="H9" s="20">
        <f>G9+H8</f>
        <v/>
      </c>
      <c r="I9" s="20">
        <f>H9+I8</f>
        <v/>
      </c>
      <c r="J9" s="20">
        <f>I9+J8</f>
        <v/>
      </c>
      <c r="K9" s="20">
        <f>J9+K8</f>
        <v/>
      </c>
      <c r="L9" s="20">
        <f>K9+L8</f>
        <v/>
      </c>
      <c r="M9" s="20">
        <f>L9+M8</f>
        <v/>
      </c>
      <c r="N9" s="20">
        <f>M9+N8</f>
        <v/>
      </c>
      <c r="O9" s="20">
        <f>N9+O8</f>
        <v/>
      </c>
      <c r="P9" s="20">
        <f>O9+P8</f>
        <v/>
      </c>
      <c r="Q9" s="20">
        <f>P9+Q8</f>
        <v/>
      </c>
      <c r="R9" s="20">
        <f>Q9+R8</f>
        <v/>
      </c>
      <c r="S9" s="20">
        <f>R9+S8</f>
        <v/>
      </c>
      <c r="T9" s="20">
        <f>S9+T8</f>
        <v/>
      </c>
      <c r="U9" s="20">
        <f>T9+U8</f>
        <v/>
      </c>
      <c r="V9" s="20">
        <f>U9+V8</f>
        <v/>
      </c>
      <c r="W9" s="20">
        <f>V9+W8</f>
        <v/>
      </c>
      <c r="X9" s="20">
        <f>W9+X8</f>
        <v/>
      </c>
      <c r="Y9" s="20">
        <f>X9+Y8</f>
        <v/>
      </c>
      <c r="Z9" s="20">
        <f>Y9+Z8</f>
        <v/>
      </c>
      <c r="AA9" s="20">
        <f>Z9+AA8</f>
        <v/>
      </c>
      <c r="AB9" s="20">
        <f>AA9+AB8</f>
        <v/>
      </c>
    </row>
    <row r="10"/>
    <row r="11">
      <c r="B11" s="4" t="inlineStr">
        <is>
          <t>FUNDING SEQUENCE</t>
        </is>
      </c>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row>
    <row r="12">
      <c r="B12" s="9" t="inlineStr">
        <is>
          <t>Equity Draw</t>
        </is>
      </c>
      <c r="D12" s="20">
        <f>MIN(D8,MAX(0,TotalEquityA-0))</f>
        <v/>
      </c>
      <c r="E12" s="20">
        <f>MIN(E8,MAX(0,TotalEquityA-D13))</f>
        <v/>
      </c>
      <c r="F12" s="20">
        <f>MIN(F8,MAX(0,TotalEquityA-E13))</f>
        <v/>
      </c>
      <c r="G12" s="20">
        <f>MIN(G8,MAX(0,TotalEquityA-F13))</f>
        <v/>
      </c>
      <c r="H12" s="20">
        <f>MIN(H8,MAX(0,TotalEquityA-G13))</f>
        <v/>
      </c>
      <c r="I12" s="20">
        <f>MIN(I8,MAX(0,TotalEquityA-H13))</f>
        <v/>
      </c>
      <c r="J12" s="20">
        <f>MIN(J8,MAX(0,TotalEquityA-I13))</f>
        <v/>
      </c>
      <c r="K12" s="20">
        <f>MIN(K8,MAX(0,TotalEquityA-J13))</f>
        <v/>
      </c>
      <c r="L12" s="20">
        <f>MIN(L8,MAX(0,TotalEquityA-K13))</f>
        <v/>
      </c>
      <c r="M12" s="20">
        <f>MIN(M8,MAX(0,TotalEquityA-L13))</f>
        <v/>
      </c>
      <c r="N12" s="20">
        <f>MIN(N8,MAX(0,TotalEquityA-M13))</f>
        <v/>
      </c>
      <c r="O12" s="20">
        <f>MIN(O8,MAX(0,TotalEquityA-N13))</f>
        <v/>
      </c>
      <c r="P12" s="20">
        <f>MIN(P8,MAX(0,TotalEquityA-O13))</f>
        <v/>
      </c>
      <c r="Q12" s="20">
        <f>MIN(Q8,MAX(0,TotalEquityA-P13))</f>
        <v/>
      </c>
      <c r="R12" s="20">
        <f>MIN(R8,MAX(0,TotalEquityA-Q13))</f>
        <v/>
      </c>
      <c r="S12" s="20">
        <f>MIN(S8,MAX(0,TotalEquityA-R13))</f>
        <v/>
      </c>
      <c r="T12" s="20">
        <f>MIN(T8,MAX(0,TotalEquityA-S13))</f>
        <v/>
      </c>
      <c r="U12" s="20">
        <f>MIN(U8,MAX(0,TotalEquityA-T13))</f>
        <v/>
      </c>
      <c r="V12" s="20">
        <f>MIN(V8,MAX(0,TotalEquityA-U13))</f>
        <v/>
      </c>
      <c r="W12" s="20">
        <f>MIN(W8,MAX(0,TotalEquityA-V13))</f>
        <v/>
      </c>
      <c r="X12" s="20">
        <f>MIN(X8,MAX(0,TotalEquityA-W13))</f>
        <v/>
      </c>
      <c r="Y12" s="20">
        <f>MIN(Y8,MAX(0,TotalEquityA-X13))</f>
        <v/>
      </c>
      <c r="Z12" s="20">
        <f>MIN(Z8,MAX(0,TotalEquityA-Y13))</f>
        <v/>
      </c>
      <c r="AA12" s="20">
        <f>MIN(AA8,MAX(0,TotalEquityA-Z13))</f>
        <v/>
      </c>
      <c r="AB12" s="20">
        <f>MIN(AB8,MAX(0,TotalEquityA-AA13))</f>
        <v/>
      </c>
    </row>
    <row r="13">
      <c r="B13" s="6" t="inlineStr">
        <is>
          <t>Cumulative Equity Draw</t>
        </is>
      </c>
      <c r="C13" s="7" t="n"/>
      <c r="D13" s="15">
        <f>0+D12</f>
        <v/>
      </c>
      <c r="E13" s="15">
        <f>D13+E12</f>
        <v/>
      </c>
      <c r="F13" s="15">
        <f>E13+F12</f>
        <v/>
      </c>
      <c r="G13" s="15">
        <f>F13+G12</f>
        <v/>
      </c>
      <c r="H13" s="15">
        <f>G13+H12</f>
        <v/>
      </c>
      <c r="I13" s="15">
        <f>H13+I12</f>
        <v/>
      </c>
      <c r="J13" s="15">
        <f>I13+J12</f>
        <v/>
      </c>
      <c r="K13" s="15">
        <f>J13+K12</f>
        <v/>
      </c>
      <c r="L13" s="15">
        <f>K13+L12</f>
        <v/>
      </c>
      <c r="M13" s="15">
        <f>L13+M12</f>
        <v/>
      </c>
      <c r="N13" s="15">
        <f>M13+N12</f>
        <v/>
      </c>
      <c r="O13" s="15">
        <f>N13+O12</f>
        <v/>
      </c>
      <c r="P13" s="15">
        <f>O13+P12</f>
        <v/>
      </c>
      <c r="Q13" s="15">
        <f>P13+Q12</f>
        <v/>
      </c>
      <c r="R13" s="15">
        <f>Q13+R12</f>
        <v/>
      </c>
      <c r="S13" s="15">
        <f>R13+S12</f>
        <v/>
      </c>
      <c r="T13" s="15">
        <f>S13+T12</f>
        <v/>
      </c>
      <c r="U13" s="15">
        <f>T13+U12</f>
        <v/>
      </c>
      <c r="V13" s="15">
        <f>U13+V12</f>
        <v/>
      </c>
      <c r="W13" s="15">
        <f>V13+W12</f>
        <v/>
      </c>
      <c r="X13" s="15">
        <f>W13+X12</f>
        <v/>
      </c>
      <c r="Y13" s="15">
        <f>X13+Y12</f>
        <v/>
      </c>
      <c r="Z13" s="15">
        <f>Y13+Z12</f>
        <v/>
      </c>
      <c r="AA13" s="15">
        <f>Z13+AA12</f>
        <v/>
      </c>
      <c r="AB13" s="15">
        <f>AA13+AB12</f>
        <v/>
      </c>
    </row>
    <row r="14">
      <c r="B14" s="9" t="inlineStr">
        <is>
          <t>Debt Draw Required</t>
        </is>
      </c>
      <c r="D14" s="20">
        <f>D8-D12</f>
        <v/>
      </c>
      <c r="E14" s="20">
        <f>E8-E12</f>
        <v/>
      </c>
      <c r="F14" s="20">
        <f>F8-F12</f>
        <v/>
      </c>
      <c r="G14" s="20">
        <f>G8-G12</f>
        <v/>
      </c>
      <c r="H14" s="20">
        <f>H8-H12</f>
        <v/>
      </c>
      <c r="I14" s="20">
        <f>I8-I12</f>
        <v/>
      </c>
      <c r="J14" s="20">
        <f>J8-J12</f>
        <v/>
      </c>
      <c r="K14" s="20">
        <f>K8-K12</f>
        <v/>
      </c>
      <c r="L14" s="20">
        <f>L8-L12</f>
        <v/>
      </c>
      <c r="M14" s="20">
        <f>M8-M12</f>
        <v/>
      </c>
      <c r="N14" s="20">
        <f>N8-N12</f>
        <v/>
      </c>
      <c r="O14" s="20">
        <f>O8-O12</f>
        <v/>
      </c>
      <c r="P14" s="20">
        <f>P8-P12</f>
        <v/>
      </c>
      <c r="Q14" s="20">
        <f>Q8-Q12</f>
        <v/>
      </c>
      <c r="R14" s="20">
        <f>R8-R12</f>
        <v/>
      </c>
      <c r="S14" s="20">
        <f>S8-S12</f>
        <v/>
      </c>
      <c r="T14" s="20">
        <f>T8-T12</f>
        <v/>
      </c>
      <c r="U14" s="20">
        <f>U8-U12</f>
        <v/>
      </c>
      <c r="V14" s="20">
        <f>V8-V12</f>
        <v/>
      </c>
      <c r="W14" s="20">
        <f>W8-W12</f>
        <v/>
      </c>
      <c r="X14" s="20">
        <f>X8-X12</f>
        <v/>
      </c>
      <c r="Y14" s="20">
        <f>Y8-Y12</f>
        <v/>
      </c>
      <c r="Z14" s="20">
        <f>Z8-Z12</f>
        <v/>
      </c>
      <c r="AA14" s="20">
        <f>AA8-AA12</f>
        <v/>
      </c>
      <c r="AB14" s="20">
        <f>AB8-AB12</f>
        <v/>
      </c>
    </row>
    <row r="15">
      <c r="B15" s="6" t="inlineStr">
        <is>
          <t>Senior Loan Draw on Cost</t>
        </is>
      </c>
      <c r="C15" s="7" t="n"/>
      <c r="D15" s="15">
        <f>D14*LTC/(LTC+PacePct)</f>
        <v/>
      </c>
      <c r="E15" s="15">
        <f>E14*LTC/(LTC+PacePct)</f>
        <v/>
      </c>
      <c r="F15" s="15">
        <f>F14*LTC/(LTC+PacePct)</f>
        <v/>
      </c>
      <c r="G15" s="15">
        <f>G14*LTC/(LTC+PacePct)</f>
        <v/>
      </c>
      <c r="H15" s="15">
        <f>H14*LTC/(LTC+PacePct)</f>
        <v/>
      </c>
      <c r="I15" s="15">
        <f>I14*LTC/(LTC+PacePct)</f>
        <v/>
      </c>
      <c r="J15" s="15">
        <f>J14*LTC/(LTC+PacePct)</f>
        <v/>
      </c>
      <c r="K15" s="15">
        <f>K14*LTC/(LTC+PacePct)</f>
        <v/>
      </c>
      <c r="L15" s="15">
        <f>L14*LTC/(LTC+PacePct)</f>
        <v/>
      </c>
      <c r="M15" s="15">
        <f>M14*LTC/(LTC+PacePct)</f>
        <v/>
      </c>
      <c r="N15" s="15">
        <f>N14*LTC/(LTC+PacePct)</f>
        <v/>
      </c>
      <c r="O15" s="15">
        <f>O14*LTC/(LTC+PacePct)</f>
        <v/>
      </c>
      <c r="P15" s="15">
        <f>P14*LTC/(LTC+PacePct)</f>
        <v/>
      </c>
      <c r="Q15" s="15">
        <f>Q14*LTC/(LTC+PacePct)</f>
        <v/>
      </c>
      <c r="R15" s="15">
        <f>R14*LTC/(LTC+PacePct)</f>
        <v/>
      </c>
      <c r="S15" s="15">
        <f>S14*LTC/(LTC+PacePct)</f>
        <v/>
      </c>
      <c r="T15" s="15">
        <f>T14*LTC/(LTC+PacePct)</f>
        <v/>
      </c>
      <c r="U15" s="15">
        <f>U14*LTC/(LTC+PacePct)</f>
        <v/>
      </c>
      <c r="V15" s="15">
        <f>V14*LTC/(LTC+PacePct)</f>
        <v/>
      </c>
      <c r="W15" s="15">
        <f>W14*LTC/(LTC+PacePct)</f>
        <v/>
      </c>
      <c r="X15" s="15">
        <f>X14*LTC/(LTC+PacePct)</f>
        <v/>
      </c>
      <c r="Y15" s="15">
        <f>Y14*LTC/(LTC+PacePct)</f>
        <v/>
      </c>
      <c r="Z15" s="15">
        <f>Z14*LTC/(LTC+PacePct)</f>
        <v/>
      </c>
      <c r="AA15" s="15">
        <f>AA14*LTC/(LTC+PacePct)</f>
        <v/>
      </c>
      <c r="AB15" s="15">
        <f>AB14*LTC/(LTC+PacePct)</f>
        <v/>
      </c>
    </row>
    <row r="16">
      <c r="B16" s="9" t="inlineStr">
        <is>
          <t>Senior Origination Fee Funded at Closing</t>
        </is>
      </c>
      <c r="D16" s="14">
        <f>SelSnrFee</f>
        <v/>
      </c>
      <c r="E16" s="20">
        <f>0</f>
        <v/>
      </c>
      <c r="F16" s="20">
        <f>0</f>
        <v/>
      </c>
      <c r="G16" s="20">
        <f>0</f>
        <v/>
      </c>
      <c r="H16" s="20">
        <f>0</f>
        <v/>
      </c>
      <c r="I16" s="20">
        <f>0</f>
        <v/>
      </c>
      <c r="J16" s="20">
        <f>0</f>
        <v/>
      </c>
      <c r="K16" s="20">
        <f>0</f>
        <v/>
      </c>
      <c r="L16" s="20">
        <f>0</f>
        <v/>
      </c>
      <c r="M16" s="20">
        <f>0</f>
        <v/>
      </c>
      <c r="N16" s="20">
        <f>0</f>
        <v/>
      </c>
      <c r="O16" s="20">
        <f>0</f>
        <v/>
      </c>
      <c r="P16" s="20">
        <f>0</f>
        <v/>
      </c>
      <c r="Q16" s="20">
        <f>0</f>
        <v/>
      </c>
      <c r="R16" s="20">
        <f>0</f>
        <v/>
      </c>
      <c r="S16" s="20">
        <f>0</f>
        <v/>
      </c>
      <c r="T16" s="20">
        <f>0</f>
        <v/>
      </c>
      <c r="U16" s="20">
        <f>0</f>
        <v/>
      </c>
      <c r="V16" s="20">
        <f>0</f>
        <v/>
      </c>
      <c r="W16" s="20">
        <f>0</f>
        <v/>
      </c>
      <c r="X16" s="20">
        <f>0</f>
        <v/>
      </c>
      <c r="Y16" s="20">
        <f>0</f>
        <v/>
      </c>
      <c r="Z16" s="20">
        <f>0</f>
        <v/>
      </c>
      <c r="AA16" s="20">
        <f>0</f>
        <v/>
      </c>
      <c r="AB16" s="20">
        <f>0</f>
        <v/>
      </c>
    </row>
    <row r="17">
      <c r="B17" s="75" t="inlineStr">
        <is>
          <t>Total Senior Funding</t>
        </is>
      </c>
      <c r="C17" s="61" t="n"/>
      <c r="D17" s="62">
        <f>D15+D16</f>
        <v/>
      </c>
      <c r="E17" s="62">
        <f>E15+E16</f>
        <v/>
      </c>
      <c r="F17" s="62">
        <f>F15+F16</f>
        <v/>
      </c>
      <c r="G17" s="62">
        <f>G15+G16</f>
        <v/>
      </c>
      <c r="H17" s="62">
        <f>H15+H16</f>
        <v/>
      </c>
      <c r="I17" s="62">
        <f>I15+I16</f>
        <v/>
      </c>
      <c r="J17" s="62">
        <f>J15+J16</f>
        <v/>
      </c>
      <c r="K17" s="62">
        <f>K15+K16</f>
        <v/>
      </c>
      <c r="L17" s="62">
        <f>L15+L16</f>
        <v/>
      </c>
      <c r="M17" s="62">
        <f>M15+M16</f>
        <v/>
      </c>
      <c r="N17" s="62">
        <f>N15+N16</f>
        <v/>
      </c>
      <c r="O17" s="62">
        <f>O15+O16</f>
        <v/>
      </c>
      <c r="P17" s="62">
        <f>P15+P16</f>
        <v/>
      </c>
      <c r="Q17" s="62">
        <f>Q15+Q16</f>
        <v/>
      </c>
      <c r="R17" s="62">
        <f>R15+R16</f>
        <v/>
      </c>
      <c r="S17" s="62">
        <f>S15+S16</f>
        <v/>
      </c>
      <c r="T17" s="62">
        <f>T15+T16</f>
        <v/>
      </c>
      <c r="U17" s="62">
        <f>U15+U16</f>
        <v/>
      </c>
      <c r="V17" s="62">
        <f>V15+V16</f>
        <v/>
      </c>
      <c r="W17" s="62">
        <f>W15+W16</f>
        <v/>
      </c>
      <c r="X17" s="62">
        <f>X15+X16</f>
        <v/>
      </c>
      <c r="Y17" s="62">
        <f>Y15+Y16</f>
        <v/>
      </c>
      <c r="Z17" s="62">
        <f>Z15+Z16</f>
        <v/>
      </c>
      <c r="AA17" s="62">
        <f>AA15+AA16</f>
        <v/>
      </c>
      <c r="AB17" s="62">
        <f>AB15+AB16</f>
        <v/>
      </c>
    </row>
    <row r="18">
      <c r="B18" s="9" t="inlineStr">
        <is>
          <t>C-PACE Draw</t>
        </is>
      </c>
      <c r="D18" s="20">
        <f>D14*PacePct/(LTC+PacePct)</f>
        <v/>
      </c>
      <c r="E18" s="20">
        <f>E14*PacePct/(LTC+PacePct)</f>
        <v/>
      </c>
      <c r="F18" s="20">
        <f>F14*PacePct/(LTC+PacePct)</f>
        <v/>
      </c>
      <c r="G18" s="20">
        <f>G14*PacePct/(LTC+PacePct)</f>
        <v/>
      </c>
      <c r="H18" s="20">
        <f>H14*PacePct/(LTC+PacePct)</f>
        <v/>
      </c>
      <c r="I18" s="20">
        <f>I14*PacePct/(LTC+PacePct)</f>
        <v/>
      </c>
      <c r="J18" s="20">
        <f>J14*PacePct/(LTC+PacePct)</f>
        <v/>
      </c>
      <c r="K18" s="20">
        <f>K14*PacePct/(LTC+PacePct)</f>
        <v/>
      </c>
      <c r="L18" s="20">
        <f>L14*PacePct/(LTC+PacePct)</f>
        <v/>
      </c>
      <c r="M18" s="20">
        <f>M14*PacePct/(LTC+PacePct)</f>
        <v/>
      </c>
      <c r="N18" s="20">
        <f>N14*PacePct/(LTC+PacePct)</f>
        <v/>
      </c>
      <c r="O18" s="20">
        <f>O14*PacePct/(LTC+PacePct)</f>
        <v/>
      </c>
      <c r="P18" s="20">
        <f>P14*PacePct/(LTC+PacePct)</f>
        <v/>
      </c>
      <c r="Q18" s="20">
        <f>Q14*PacePct/(LTC+PacePct)</f>
        <v/>
      </c>
      <c r="R18" s="20">
        <f>R14*PacePct/(LTC+PacePct)</f>
        <v/>
      </c>
      <c r="S18" s="20">
        <f>S14*PacePct/(LTC+PacePct)</f>
        <v/>
      </c>
      <c r="T18" s="20">
        <f>T14*PacePct/(LTC+PacePct)</f>
        <v/>
      </c>
      <c r="U18" s="20">
        <f>U14*PacePct/(LTC+PacePct)</f>
        <v/>
      </c>
      <c r="V18" s="20">
        <f>V14*PacePct/(LTC+PacePct)</f>
        <v/>
      </c>
      <c r="W18" s="20">
        <f>W14*PacePct/(LTC+PacePct)</f>
        <v/>
      </c>
      <c r="X18" s="20">
        <f>X14*PacePct/(LTC+PacePct)</f>
        <v/>
      </c>
      <c r="Y18" s="20">
        <f>Y14*PacePct/(LTC+PacePct)</f>
        <v/>
      </c>
      <c r="Z18" s="20">
        <f>Z14*PacePct/(LTC+PacePct)</f>
        <v/>
      </c>
      <c r="AA18" s="20">
        <f>AA14*PacePct/(LTC+PacePct)</f>
        <v/>
      </c>
      <c r="AB18" s="20">
        <f>AB14*PacePct/(LTC+PacePct)</f>
        <v/>
      </c>
    </row>
    <row r="19"/>
    <row r="20">
      <c r="B20" s="4" t="inlineStr">
        <is>
          <t>SENIOR LOAN BALANCE, INTEREST CAPITALISED</t>
        </is>
      </c>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row>
    <row r="21">
      <c r="B21" s="9" t="inlineStr">
        <is>
          <t>Balance, Beginning of Month</t>
        </is>
      </c>
      <c r="D21" s="20">
        <f>0</f>
        <v/>
      </c>
      <c r="E21" s="20">
        <f>D23</f>
        <v/>
      </c>
      <c r="F21" s="20">
        <f>E23</f>
        <v/>
      </c>
      <c r="G21" s="20">
        <f>F23</f>
        <v/>
      </c>
      <c r="H21" s="20">
        <f>G23</f>
        <v/>
      </c>
      <c r="I21" s="20">
        <f>H23</f>
        <v/>
      </c>
      <c r="J21" s="20">
        <f>I23</f>
        <v/>
      </c>
      <c r="K21" s="20">
        <f>J23</f>
        <v/>
      </c>
      <c r="L21" s="20">
        <f>K23</f>
        <v/>
      </c>
      <c r="M21" s="20">
        <f>L23</f>
        <v/>
      </c>
      <c r="N21" s="20">
        <f>M23</f>
        <v/>
      </c>
      <c r="O21" s="20">
        <f>N23</f>
        <v/>
      </c>
      <c r="P21" s="20">
        <f>O23</f>
        <v/>
      </c>
      <c r="Q21" s="20">
        <f>P23</f>
        <v/>
      </c>
      <c r="R21" s="20">
        <f>Q23</f>
        <v/>
      </c>
      <c r="S21" s="20">
        <f>R23</f>
        <v/>
      </c>
      <c r="T21" s="20">
        <f>S23</f>
        <v/>
      </c>
      <c r="U21" s="20">
        <f>T23</f>
        <v/>
      </c>
      <c r="V21" s="20">
        <f>U23</f>
        <v/>
      </c>
      <c r="W21" s="20">
        <f>V23</f>
        <v/>
      </c>
      <c r="X21" s="20">
        <f>W23</f>
        <v/>
      </c>
      <c r="Y21" s="20">
        <f>X23</f>
        <v/>
      </c>
      <c r="Z21" s="20">
        <f>Y23</f>
        <v/>
      </c>
      <c r="AA21" s="20">
        <f>Z23</f>
        <v/>
      </c>
      <c r="AB21" s="20">
        <f>AA23</f>
        <v/>
      </c>
    </row>
    <row r="22">
      <c r="B22" s="6" t="inlineStr">
        <is>
          <t>Interest Accrued and Capitalised</t>
        </is>
      </c>
      <c r="C22" s="7" t="n"/>
      <c r="D22" s="15">
        <f>(D21+D17*MidPeriod)*SnrRate/12</f>
        <v/>
      </c>
      <c r="E22" s="15">
        <f>(E21+E17*MidPeriod)*SnrRate/12</f>
        <v/>
      </c>
      <c r="F22" s="15">
        <f>(F21+F17*MidPeriod)*SnrRate/12</f>
        <v/>
      </c>
      <c r="G22" s="15">
        <f>(G21+G17*MidPeriod)*SnrRate/12</f>
        <v/>
      </c>
      <c r="H22" s="15">
        <f>(H21+H17*MidPeriod)*SnrRate/12</f>
        <v/>
      </c>
      <c r="I22" s="15">
        <f>(I21+I17*MidPeriod)*SnrRate/12</f>
        <v/>
      </c>
      <c r="J22" s="15">
        <f>(J21+J17*MidPeriod)*SnrRate/12</f>
        <v/>
      </c>
      <c r="K22" s="15">
        <f>(K21+K17*MidPeriod)*SnrRate/12</f>
        <v/>
      </c>
      <c r="L22" s="15">
        <f>(L21+L17*MidPeriod)*SnrRate/12</f>
        <v/>
      </c>
      <c r="M22" s="15">
        <f>(M21+M17*MidPeriod)*SnrRate/12</f>
        <v/>
      </c>
      <c r="N22" s="15">
        <f>(N21+N17*MidPeriod)*SnrRate/12</f>
        <v/>
      </c>
      <c r="O22" s="15">
        <f>(O21+O17*MidPeriod)*SnrRate/12</f>
        <v/>
      </c>
      <c r="P22" s="15">
        <f>(P21+P17*MidPeriod)*SnrRate/12</f>
        <v/>
      </c>
      <c r="Q22" s="15">
        <f>(Q21+Q17*MidPeriod)*SnrRate/12</f>
        <v/>
      </c>
      <c r="R22" s="15">
        <f>(R21+R17*MidPeriod)*SnrRate/12</f>
        <v/>
      </c>
      <c r="S22" s="15">
        <f>(S21+S17*MidPeriod)*SnrRate/12</f>
        <v/>
      </c>
      <c r="T22" s="15">
        <f>(T21+T17*MidPeriod)*SnrRate/12</f>
        <v/>
      </c>
      <c r="U22" s="15">
        <f>(U21+U17*MidPeriod)*SnrRate/12</f>
        <v/>
      </c>
      <c r="V22" s="15">
        <f>(V21+V17*MidPeriod)*SnrRate/12</f>
        <v/>
      </c>
      <c r="W22" s="15">
        <f>(W21+W17*MidPeriod)*SnrRate/12</f>
        <v/>
      </c>
      <c r="X22" s="15">
        <f>(X21+X17*MidPeriod)*SnrRate/12</f>
        <v/>
      </c>
      <c r="Y22" s="15">
        <f>(Y21+Y17*MidPeriod)*SnrRate/12</f>
        <v/>
      </c>
      <c r="Z22" s="15">
        <f>(Z21+Z17*MidPeriod)*SnrRate/12</f>
        <v/>
      </c>
      <c r="AA22" s="15">
        <f>(AA21+AA17*MidPeriod)*SnrRate/12</f>
        <v/>
      </c>
      <c r="AB22" s="15">
        <f>(AB21+AB17*MidPeriod)*SnrRate/12</f>
        <v/>
      </c>
    </row>
    <row r="23">
      <c r="B23" s="75" t="inlineStr">
        <is>
          <t>Balance, End of Month</t>
        </is>
      </c>
      <c r="C23" s="61" t="n"/>
      <c r="D23" s="62">
        <f>D21+D17+D22</f>
        <v/>
      </c>
      <c r="E23" s="62">
        <f>E21+E17+E22</f>
        <v/>
      </c>
      <c r="F23" s="62">
        <f>F21+F17+F22</f>
        <v/>
      </c>
      <c r="G23" s="62">
        <f>G21+G17+G22</f>
        <v/>
      </c>
      <c r="H23" s="62">
        <f>H21+H17+H22</f>
        <v/>
      </c>
      <c r="I23" s="62">
        <f>I21+I17+I22</f>
        <v/>
      </c>
      <c r="J23" s="62">
        <f>J21+J17+J22</f>
        <v/>
      </c>
      <c r="K23" s="62">
        <f>K21+K17+K22</f>
        <v/>
      </c>
      <c r="L23" s="62">
        <f>L21+L17+L22</f>
        <v/>
      </c>
      <c r="M23" s="62">
        <f>M21+M17+M22</f>
        <v/>
      </c>
      <c r="N23" s="62">
        <f>N21+N17+N22</f>
        <v/>
      </c>
      <c r="O23" s="62">
        <f>O21+O17+O22</f>
        <v/>
      </c>
      <c r="P23" s="62">
        <f>P21+P17+P22</f>
        <v/>
      </c>
      <c r="Q23" s="62">
        <f>Q21+Q17+Q22</f>
        <v/>
      </c>
      <c r="R23" s="62">
        <f>R21+R17+R22</f>
        <v/>
      </c>
      <c r="S23" s="62">
        <f>S21+S17+S22</f>
        <v/>
      </c>
      <c r="T23" s="62">
        <f>T21+T17+T22</f>
        <v/>
      </c>
      <c r="U23" s="62">
        <f>U21+U17+U22</f>
        <v/>
      </c>
      <c r="V23" s="62">
        <f>V21+V17+V22</f>
        <v/>
      </c>
      <c r="W23" s="62">
        <f>W21+W17+W22</f>
        <v/>
      </c>
      <c r="X23" s="62">
        <f>X21+X17+X22</f>
        <v/>
      </c>
      <c r="Y23" s="62">
        <f>Y21+Y17+Y22</f>
        <v/>
      </c>
      <c r="Z23" s="62">
        <f>Z21+Z17+Z22</f>
        <v/>
      </c>
      <c r="AA23" s="62">
        <f>AA21+AA17+AA22</f>
        <v/>
      </c>
      <c r="AB23" s="62">
        <f>AB21+AB17+AB22</f>
        <v/>
      </c>
    </row>
    <row r="24"/>
    <row r="25">
      <c r="B25" s="4" t="inlineStr">
        <is>
          <t>C-PACE BALANCE, INTEREST CAPITALISED</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row>
    <row r="26">
      <c r="B26" s="9" t="inlineStr">
        <is>
          <t>Balance, Beginning of Month</t>
        </is>
      </c>
      <c r="D26" s="20">
        <f>0</f>
        <v/>
      </c>
      <c r="E26" s="20">
        <f>D28</f>
        <v/>
      </c>
      <c r="F26" s="20">
        <f>E28</f>
        <v/>
      </c>
      <c r="G26" s="20">
        <f>F28</f>
        <v/>
      </c>
      <c r="H26" s="20">
        <f>G28</f>
        <v/>
      </c>
      <c r="I26" s="20">
        <f>H28</f>
        <v/>
      </c>
      <c r="J26" s="20">
        <f>I28</f>
        <v/>
      </c>
      <c r="K26" s="20">
        <f>J28</f>
        <v/>
      </c>
      <c r="L26" s="20">
        <f>K28</f>
        <v/>
      </c>
      <c r="M26" s="20">
        <f>L28</f>
        <v/>
      </c>
      <c r="N26" s="20">
        <f>M28</f>
        <v/>
      </c>
      <c r="O26" s="20">
        <f>N28</f>
        <v/>
      </c>
      <c r="P26" s="20">
        <f>O28</f>
        <v/>
      </c>
      <c r="Q26" s="20">
        <f>P28</f>
        <v/>
      </c>
      <c r="R26" s="20">
        <f>Q28</f>
        <v/>
      </c>
      <c r="S26" s="20">
        <f>R28</f>
        <v/>
      </c>
      <c r="T26" s="20">
        <f>S28</f>
        <v/>
      </c>
      <c r="U26" s="20">
        <f>T28</f>
        <v/>
      </c>
      <c r="V26" s="20">
        <f>U28</f>
        <v/>
      </c>
      <c r="W26" s="20">
        <f>V28</f>
        <v/>
      </c>
      <c r="X26" s="20">
        <f>W28</f>
        <v/>
      </c>
      <c r="Y26" s="20">
        <f>X28</f>
        <v/>
      </c>
      <c r="Z26" s="20">
        <f>Y28</f>
        <v/>
      </c>
      <c r="AA26" s="20">
        <f>Z28</f>
        <v/>
      </c>
      <c r="AB26" s="20">
        <f>AA28</f>
        <v/>
      </c>
    </row>
    <row r="27">
      <c r="B27" s="6" t="inlineStr">
        <is>
          <t>Interest Accrued and Capitalised</t>
        </is>
      </c>
      <c r="C27" s="7" t="n"/>
      <c r="D27" s="15">
        <f>(D26+D18*MidPeriod)*PaceRate/12</f>
        <v/>
      </c>
      <c r="E27" s="15">
        <f>(E26+E18*MidPeriod)*PaceRate/12</f>
        <v/>
      </c>
      <c r="F27" s="15">
        <f>(F26+F18*MidPeriod)*PaceRate/12</f>
        <v/>
      </c>
      <c r="G27" s="15">
        <f>(G26+G18*MidPeriod)*PaceRate/12</f>
        <v/>
      </c>
      <c r="H27" s="15">
        <f>(H26+H18*MidPeriod)*PaceRate/12</f>
        <v/>
      </c>
      <c r="I27" s="15">
        <f>(I26+I18*MidPeriod)*PaceRate/12</f>
        <v/>
      </c>
      <c r="J27" s="15">
        <f>(J26+J18*MidPeriod)*PaceRate/12</f>
        <v/>
      </c>
      <c r="K27" s="15">
        <f>(K26+K18*MidPeriod)*PaceRate/12</f>
        <v/>
      </c>
      <c r="L27" s="15">
        <f>(L26+L18*MidPeriod)*PaceRate/12</f>
        <v/>
      </c>
      <c r="M27" s="15">
        <f>(M26+M18*MidPeriod)*PaceRate/12</f>
        <v/>
      </c>
      <c r="N27" s="15">
        <f>(N26+N18*MidPeriod)*PaceRate/12</f>
        <v/>
      </c>
      <c r="O27" s="15">
        <f>(O26+O18*MidPeriod)*PaceRate/12</f>
        <v/>
      </c>
      <c r="P27" s="15">
        <f>(P26+P18*MidPeriod)*PaceRate/12</f>
        <v/>
      </c>
      <c r="Q27" s="15">
        <f>(Q26+Q18*MidPeriod)*PaceRate/12</f>
        <v/>
      </c>
      <c r="R27" s="15">
        <f>(R26+R18*MidPeriod)*PaceRate/12</f>
        <v/>
      </c>
      <c r="S27" s="15">
        <f>(S26+S18*MidPeriod)*PaceRate/12</f>
        <v/>
      </c>
      <c r="T27" s="15">
        <f>(T26+T18*MidPeriod)*PaceRate/12</f>
        <v/>
      </c>
      <c r="U27" s="15">
        <f>(U26+U18*MidPeriod)*PaceRate/12</f>
        <v/>
      </c>
      <c r="V27" s="15">
        <f>(V26+V18*MidPeriod)*PaceRate/12</f>
        <v/>
      </c>
      <c r="W27" s="15">
        <f>(W26+W18*MidPeriod)*PaceRate/12</f>
        <v/>
      </c>
      <c r="X27" s="15">
        <f>(X26+X18*MidPeriod)*PaceRate/12</f>
        <v/>
      </c>
      <c r="Y27" s="15">
        <f>(Y26+Y18*MidPeriod)*PaceRate/12</f>
        <v/>
      </c>
      <c r="Z27" s="15">
        <f>(Z26+Z18*MidPeriod)*PaceRate/12</f>
        <v/>
      </c>
      <c r="AA27" s="15">
        <f>(AA26+AA18*MidPeriod)*PaceRate/12</f>
        <v/>
      </c>
      <c r="AB27" s="15">
        <f>(AB26+AB18*MidPeriod)*PaceRate/12</f>
        <v/>
      </c>
    </row>
    <row r="28">
      <c r="B28" s="75" t="inlineStr">
        <is>
          <t>Balance, End of Month</t>
        </is>
      </c>
      <c r="C28" s="61" t="n"/>
      <c r="D28" s="62">
        <f>D26+D18+D27</f>
        <v/>
      </c>
      <c r="E28" s="62">
        <f>E26+E18+E27</f>
        <v/>
      </c>
      <c r="F28" s="62">
        <f>F26+F18+F27</f>
        <v/>
      </c>
      <c r="G28" s="62">
        <f>G26+G18+G27</f>
        <v/>
      </c>
      <c r="H28" s="62">
        <f>H26+H18+H27</f>
        <v/>
      </c>
      <c r="I28" s="62">
        <f>I26+I18+I27</f>
        <v/>
      </c>
      <c r="J28" s="62">
        <f>J26+J18+J27</f>
        <v/>
      </c>
      <c r="K28" s="62">
        <f>K26+K18+K27</f>
        <v/>
      </c>
      <c r="L28" s="62">
        <f>L26+L18+L27</f>
        <v/>
      </c>
      <c r="M28" s="62">
        <f>M26+M18+M27</f>
        <v/>
      </c>
      <c r="N28" s="62">
        <f>N26+N18+N27</f>
        <v/>
      </c>
      <c r="O28" s="62">
        <f>O26+O18+O27</f>
        <v/>
      </c>
      <c r="P28" s="62">
        <f>P26+P18+P27</f>
        <v/>
      </c>
      <c r="Q28" s="62">
        <f>Q26+Q18+Q27</f>
        <v/>
      </c>
      <c r="R28" s="62">
        <f>R26+R18+R27</f>
        <v/>
      </c>
      <c r="S28" s="62">
        <f>S26+S18+S27</f>
        <v/>
      </c>
      <c r="T28" s="62">
        <f>T26+T18+T27</f>
        <v/>
      </c>
      <c r="U28" s="62">
        <f>U26+U18+U27</f>
        <v/>
      </c>
      <c r="V28" s="62">
        <f>V26+V18+V27</f>
        <v/>
      </c>
      <c r="W28" s="62">
        <f>W26+W18+W27</f>
        <v/>
      </c>
      <c r="X28" s="62">
        <f>X26+X18+X27</f>
        <v/>
      </c>
      <c r="Y28" s="62">
        <f>Y26+Y18+Y27</f>
        <v/>
      </c>
      <c r="Z28" s="62">
        <f>Z26+Z18+Z27</f>
        <v/>
      </c>
      <c r="AA28" s="62">
        <f>AA26+AA18+AA27</f>
        <v/>
      </c>
      <c r="AB28" s="62">
        <f>AB26+AB18+AB27</f>
        <v/>
      </c>
    </row>
    <row r="29"/>
    <row r="30"/>
    <row r="31">
      <c r="B31" s="4" t="inlineStr">
        <is>
          <t>OUTPUTS</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row>
    <row r="32">
      <c r="B32" s="16" t="inlineStr">
        <is>
          <t>Total Senior Interest During Construction</t>
        </is>
      </c>
      <c r="D32" s="23">
        <f>SUM(D22:AB22)</f>
        <v/>
      </c>
    </row>
    <row r="33">
      <c r="B33" s="18" t="inlineStr">
        <is>
          <t>Total C-PACE Capitalised Interest</t>
        </is>
      </c>
      <c r="C33" s="7" t="n"/>
      <c r="D33" s="19">
        <f>SUM(D27:AB27)</f>
        <v/>
      </c>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row>
    <row r="34">
      <c r="B34" s="9" t="inlineStr">
        <is>
          <t>Senior IDC per $1 of Project Cost Before Financing</t>
        </is>
      </c>
      <c r="D34" s="73">
        <f>D32/PCBF</f>
        <v/>
      </c>
    </row>
    <row r="35">
      <c r="B35" s="6" t="inlineStr">
        <is>
          <t>C-PACE IDC per $1 of Project Cost Before Financing</t>
        </is>
      </c>
      <c r="C35" s="7" t="n"/>
      <c r="D35" s="76">
        <f>D33/PCBF</f>
        <v/>
      </c>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row>
    <row r="36">
      <c r="B36" s="9" t="inlineStr">
        <is>
          <t>Senior Balance at Month 0</t>
        </is>
      </c>
      <c r="D36" s="20">
        <f>D23</f>
        <v/>
      </c>
    </row>
    <row r="37">
      <c r="B37" s="6" t="inlineStr">
        <is>
          <t>Senior Balance at Month 12</t>
        </is>
      </c>
      <c r="C37" s="7" t="n"/>
      <c r="D37" s="15">
        <f>P23</f>
        <v/>
      </c>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row>
    <row r="38">
      <c r="B38" s="16" t="inlineStr">
        <is>
          <t>Senior Balance at Month 24</t>
        </is>
      </c>
      <c r="D38" s="23">
        <f>AB23</f>
        <v/>
      </c>
    </row>
    <row r="39">
      <c r="B39" s="6" t="inlineStr">
        <is>
          <t>C-PACE Balance at Month 0</t>
        </is>
      </c>
      <c r="C39" s="7" t="n"/>
      <c r="D39" s="15">
        <f>D28</f>
        <v/>
      </c>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row>
    <row r="40">
      <c r="B40" s="9" t="inlineStr">
        <is>
          <t>C-PACE Balance at Month 12</t>
        </is>
      </c>
      <c r="D40" s="20">
        <f>P28</f>
        <v/>
      </c>
    </row>
    <row r="41">
      <c r="B41" s="18" t="inlineStr">
        <is>
          <t>C-PACE Balance at Month 24</t>
        </is>
      </c>
      <c r="C41" s="7" t="n"/>
      <c r="D41" s="19">
        <f>AB28</f>
        <v/>
      </c>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row>
    <row r="42">
      <c r="B42" s="9" t="inlineStr">
        <is>
          <t>Peak Equity Funded</t>
        </is>
      </c>
      <c r="D42" s="20">
        <f>AB13</f>
        <v/>
      </c>
    </row>
    <row r="43"/>
    <row r="44">
      <c r="B44" s="4" t="inlineStr">
        <is>
          <t>CHECKS</t>
        </is>
      </c>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row>
    <row r="45">
      <c r="B45" s="6" t="inlineStr">
        <is>
          <t>Draw curve sums to 100%</t>
        </is>
      </c>
      <c r="C45" s="7" t="n"/>
      <c r="D45" s="28">
        <f>SUM(D7:AB7)</f>
        <v/>
      </c>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row>
    <row r="46">
      <c r="B46" s="9" t="inlineStr">
        <is>
          <t>Cumulative draw less project cost before financing</t>
        </is>
      </c>
      <c r="D46" s="20">
        <f>AB9-PCBF</f>
        <v/>
      </c>
    </row>
    <row r="47">
      <c r="B47" s="6" t="inlineStr">
        <is>
          <t>Senior balance at month 24 less senior commitment</t>
        </is>
      </c>
      <c r="C47" s="7" t="n"/>
      <c r="D47" s="15">
        <f>D38-SnrCommitment</f>
        <v/>
      </c>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row>
    <row r="48">
      <c r="B48" s="9" t="inlineStr">
        <is>
          <t>C-PACE balance at month 24 less C-PACE commitment</t>
        </is>
      </c>
      <c r="D48" s="20">
        <f>D41-PaceCommitment</f>
        <v/>
      </c>
    </row>
    <row r="49">
      <c r="B49" s="6" t="inlineStr">
        <is>
          <t>Equity plus debt drawn less project cost before financing</t>
        </is>
      </c>
      <c r="C49" s="7" t="n"/>
      <c r="D49" s="15">
        <f>AB13+SUM(D15:AB15)+SUM(D18:AB18)-PCBF</f>
        <v/>
      </c>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row>
    <row r="50"/>
    <row r="51">
      <c r="B51" s="4" t="inlineStr">
        <is>
          <t>ANNUALISED FOR THE RETURNS SCHEDULE</t>
        </is>
      </c>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row>
    <row r="52">
      <c r="B52" s="16" t="inlineStr">
        <is>
          <t>Period</t>
        </is>
      </c>
      <c r="D52" s="77" t="n">
        <v>0</v>
      </c>
      <c r="E52" s="77" t="n">
        <v>1</v>
      </c>
      <c r="F52" s="77" t="n">
        <v>2</v>
      </c>
    </row>
    <row r="53">
      <c r="B53" s="6" t="inlineStr">
        <is>
          <t>Project Cost Draw by Year</t>
        </is>
      </c>
      <c r="C53" s="7" t="n"/>
      <c r="D53" s="15">
        <f>SUM(D8:D8)</f>
        <v/>
      </c>
      <c r="E53" s="15">
        <f>SUM(E8:P8)</f>
        <v/>
      </c>
      <c r="F53" s="15">
        <f>SUM(Q8:AB8)</f>
        <v/>
      </c>
    </row>
    <row r="54">
      <c r="B54" s="9" t="inlineStr">
        <is>
          <t>Equity Draw by Year</t>
        </is>
      </c>
      <c r="D54" s="20">
        <f>SUM(D12:D12)</f>
        <v/>
      </c>
      <c r="E54" s="20">
        <f>SUM(E12:P12)</f>
        <v/>
      </c>
      <c r="F54" s="20">
        <f>SUM(Q12:AB12)</f>
        <v/>
      </c>
    </row>
    <row r="55">
      <c r="B55" s="6" t="inlineStr">
        <is>
          <t>Senior Funding by Year</t>
        </is>
      </c>
      <c r="C55" s="7" t="n"/>
      <c r="D55" s="15">
        <f>SUM(D17:D17)</f>
        <v/>
      </c>
      <c r="E55" s="15">
        <f>SUM(E17:P17)</f>
        <v/>
      </c>
      <c r="F55" s="15">
        <f>SUM(Q17:AB17)</f>
        <v/>
      </c>
    </row>
    <row r="56">
      <c r="B56" s="9" t="inlineStr">
        <is>
          <t>C-PACE Draw by Year</t>
        </is>
      </c>
      <c r="D56" s="20">
        <f>SUM(D18:D18)</f>
        <v/>
      </c>
      <c r="E56" s="20">
        <f>SUM(E18:P18)</f>
        <v/>
      </c>
      <c r="F56" s="20">
        <f>SUM(Q18:AB18)</f>
        <v/>
      </c>
    </row>
    <row r="57"/>
    <row r="58">
      <c r="B58" s="3" t="inlineStr">
        <is>
          <t>Note: interest accrues on the opening balance plus the mid period convention share of the current month funding, which is the standard construction facility convention.</t>
        </is>
      </c>
    </row>
    <row r="59">
      <c r="B59" s="3" t="inlineStr">
        <is>
          <t>Note: the draw curve is front loaded for the land acquisition and long lead equipment deposits. Transformers run 60 to 130 weeks, generators 50 to 80 weeks and switchgear 40 to 70 weeks, so deposits are placed ahead of full permitting.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5"/>
  <sheetViews>
    <sheetView showGridLines="0" workbookViewId="0">
      <selection activeCell="A1" sqref="A1"/>
    </sheetView>
  </sheetViews>
  <sheetFormatPr baseColWidth="8" defaultRowHeight="15"/>
  <cols>
    <col width="2.4" customWidth="1" min="1" max="1"/>
    <col width="48" customWidth="1" min="2" max="2"/>
    <col width="1.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0" customHeight="1">
      <c r="B1" s="1" t="inlineStr">
        <is>
          <t>OPERATING MODEL   |   STABILISED NET OPERATING INCOME</t>
        </is>
      </c>
      <c r="C1" s="2" t="n"/>
      <c r="D1" s="2" t="n"/>
      <c r="E1" s="2" t="n"/>
      <c r="F1" s="2" t="n"/>
      <c r="G1" s="2" t="n"/>
      <c r="H1" s="2" t="n"/>
      <c r="I1" s="2" t="n"/>
      <c r="J1" s="2" t="n"/>
      <c r="K1" s="2" t="n"/>
      <c r="L1" s="2" t="n"/>
      <c r="M1" s="2" t="n"/>
      <c r="N1" s="2" t="n"/>
      <c r="O1" s="2" t="n"/>
      <c r="P1" s="2" t="n"/>
      <c r="Q1" s="2" t="n"/>
    </row>
    <row r="2">
      <c r="B2" s="3" t="inlineStr">
        <is>
          <t>Triple net wholesale lease. The tenant pays power directly, so the landlord retains only management, insurance, reserves and G&amp;A.</t>
        </is>
      </c>
    </row>
    <row r="3"/>
    <row r="4" ht="28" customHeight="1">
      <c r="B4" s="1" t="inlineStr">
        <is>
          <t>Period</t>
        </is>
      </c>
      <c r="C4" s="56" t="n"/>
      <c r="D4" s="78" t="n">
        <v>0</v>
      </c>
      <c r="E4" s="78" t="n">
        <v>1</v>
      </c>
      <c r="F4" s="78" t="n">
        <v>2</v>
      </c>
      <c r="G4" s="78" t="n">
        <v>3</v>
      </c>
      <c r="H4" s="78" t="n">
        <v>4</v>
      </c>
      <c r="I4" s="78" t="n">
        <v>5</v>
      </c>
      <c r="J4" s="78" t="n">
        <v>6</v>
      </c>
      <c r="K4" s="78" t="n">
        <v>7</v>
      </c>
      <c r="L4" s="78" t="n">
        <v>8</v>
      </c>
      <c r="M4" s="78" t="n">
        <v>9</v>
      </c>
      <c r="N4" s="78" t="n">
        <v>10</v>
      </c>
      <c r="O4" s="78" t="n">
        <v>11</v>
      </c>
      <c r="P4" s="78" t="n">
        <v>12</v>
      </c>
      <c r="Q4" s="78" t="n">
        <v>13</v>
      </c>
    </row>
    <row r="5"/>
    <row r="6">
      <c r="B6" s="4" t="inlineStr">
        <is>
          <t>TIMELINE AND PRICING</t>
        </is>
      </c>
      <c r="C6" s="5" t="n"/>
      <c r="D6" s="5" t="n"/>
      <c r="E6" s="5" t="n"/>
      <c r="F6" s="5" t="n"/>
      <c r="G6" s="5" t="n"/>
      <c r="H6" s="5" t="n"/>
      <c r="I6" s="5" t="n"/>
      <c r="J6" s="5" t="n"/>
      <c r="K6" s="5" t="n"/>
      <c r="L6" s="5" t="n"/>
      <c r="M6" s="5" t="n"/>
      <c r="N6" s="5" t="n"/>
      <c r="O6" s="5" t="n"/>
      <c r="P6" s="5" t="n"/>
      <c r="Q6" s="5" t="n"/>
    </row>
    <row r="7">
      <c r="B7" s="9" t="inlineStr">
        <is>
          <t>Operating Months in Period</t>
        </is>
      </c>
      <c r="D7" s="45">
        <f>IF(0&lt;2,0,IF(0=2,OpsMonthsY2,12))</f>
        <v/>
      </c>
      <c r="E7" s="45">
        <f>IF(1&lt;2,0,IF(1=2,OpsMonthsY2,12))</f>
        <v/>
      </c>
      <c r="F7" s="45">
        <f>IF(2&lt;2,0,IF(2=2,OpsMonthsY2,12))</f>
        <v/>
      </c>
      <c r="G7" s="45">
        <f>IF(3&lt;2,0,IF(3=2,OpsMonthsY2,12))</f>
        <v/>
      </c>
      <c r="H7" s="45">
        <f>IF(4&lt;2,0,IF(4=2,OpsMonthsY2,12))</f>
        <v/>
      </c>
      <c r="I7" s="45">
        <f>IF(5&lt;2,0,IF(5=2,OpsMonthsY2,12))</f>
        <v/>
      </c>
      <c r="J7" s="45">
        <f>IF(6&lt;2,0,IF(6=2,OpsMonthsY2,12))</f>
        <v/>
      </c>
      <c r="K7" s="45">
        <f>IF(7&lt;2,0,IF(7=2,OpsMonthsY2,12))</f>
        <v/>
      </c>
      <c r="L7" s="45">
        <f>IF(8&lt;2,0,IF(8=2,OpsMonthsY2,12))</f>
        <v/>
      </c>
      <c r="M7" s="45">
        <f>IF(9&lt;2,0,IF(9=2,OpsMonthsY2,12))</f>
        <v/>
      </c>
      <c r="N7" s="45">
        <f>IF(10&lt;2,0,IF(10=2,OpsMonthsY2,12))</f>
        <v/>
      </c>
      <c r="O7" s="45">
        <f>IF(11&lt;2,0,IF(11=2,OpsMonthsY2,12))</f>
        <v/>
      </c>
      <c r="P7" s="45">
        <f>IF(12&lt;2,0,IF(12=2,OpsMonthsY2,12))</f>
        <v/>
      </c>
      <c r="Q7" s="45">
        <f>IF(13&lt;2,0,IF(13=2,OpsMonthsY2,12))</f>
        <v/>
      </c>
    </row>
    <row r="8">
      <c r="B8" s="6" t="inlineStr">
        <is>
          <t>Rent Escalation Index</t>
        </is>
      </c>
      <c r="C8" s="7" t="n"/>
      <c r="D8" s="79">
        <f>IF(0&lt;2,0,(1+RentEscal)^(0-2))</f>
        <v/>
      </c>
      <c r="E8" s="79">
        <f>IF(1&lt;2,0,(1+RentEscal)^(1-2))</f>
        <v/>
      </c>
      <c r="F8" s="79">
        <f>IF(2&lt;2,0,(1+RentEscal)^(2-2))</f>
        <v/>
      </c>
      <c r="G8" s="79">
        <f>IF(3&lt;2,0,(1+RentEscal)^(3-2))</f>
        <v/>
      </c>
      <c r="H8" s="79">
        <f>IF(4&lt;2,0,(1+RentEscal)^(4-2))</f>
        <v/>
      </c>
      <c r="I8" s="79">
        <f>IF(5&lt;2,0,(1+RentEscal)^(5-2))</f>
        <v/>
      </c>
      <c r="J8" s="79">
        <f>IF(6&lt;2,0,(1+RentEscal)^(6-2))</f>
        <v/>
      </c>
      <c r="K8" s="79">
        <f>IF(7&lt;2,0,(1+RentEscal)^(7-2))</f>
        <v/>
      </c>
      <c r="L8" s="79">
        <f>IF(8&lt;2,0,(1+RentEscal)^(8-2))</f>
        <v/>
      </c>
      <c r="M8" s="79">
        <f>IF(9&lt;2,0,(1+RentEscal)^(9-2))</f>
        <v/>
      </c>
      <c r="N8" s="79">
        <f>IF(10&lt;2,0,(1+RentEscal)^(10-2))</f>
        <v/>
      </c>
      <c r="O8" s="79">
        <f>IF(11&lt;2,0,(1+RentEscal)^(11-2))</f>
        <v/>
      </c>
      <c r="P8" s="79">
        <f>IF(12&lt;2,0,(1+RentEscal)^(12-2))</f>
        <v/>
      </c>
      <c r="Q8" s="79">
        <f>IF(13&lt;2,0,(1+RentEscal)^(13-2))</f>
        <v/>
      </c>
    </row>
    <row r="9">
      <c r="B9" s="9" t="inlineStr">
        <is>
          <t>Rate per kW per Month</t>
        </is>
      </c>
      <c r="D9" s="39">
        <f>RatePerKw*D8</f>
        <v/>
      </c>
      <c r="E9" s="39">
        <f>RatePerKw*E8</f>
        <v/>
      </c>
      <c r="F9" s="39">
        <f>RatePerKw*F8</f>
        <v/>
      </c>
      <c r="G9" s="39">
        <f>RatePerKw*G8</f>
        <v/>
      </c>
      <c r="H9" s="39">
        <f>RatePerKw*H8</f>
        <v/>
      </c>
      <c r="I9" s="39">
        <f>RatePerKw*I8</f>
        <v/>
      </c>
      <c r="J9" s="39">
        <f>RatePerKw*J8</f>
        <v/>
      </c>
      <c r="K9" s="39">
        <f>RatePerKw*K8</f>
        <v/>
      </c>
      <c r="L9" s="39">
        <f>RatePerKw*L8</f>
        <v/>
      </c>
      <c r="M9" s="39">
        <f>RatePerKw*M8</f>
        <v/>
      </c>
      <c r="N9" s="39">
        <f>RatePerKw*N8</f>
        <v/>
      </c>
      <c r="O9" s="39">
        <f>RatePerKw*O8</f>
        <v/>
      </c>
      <c r="P9" s="39">
        <f>RatePerKw*P8</f>
        <v/>
      </c>
      <c r="Q9" s="39">
        <f>RatePerKw*Q8</f>
        <v/>
      </c>
    </row>
    <row r="10">
      <c r="B10" s="6" t="inlineStr">
        <is>
          <t>Operating Cost Escalation Index</t>
        </is>
      </c>
      <c r="C10" s="7" t="n"/>
      <c r="D10" s="79">
        <f>IF(0&lt;2,0,(1+OpexEscal)^(0-2))</f>
        <v/>
      </c>
      <c r="E10" s="79">
        <f>IF(1&lt;2,0,(1+OpexEscal)^(1-2))</f>
        <v/>
      </c>
      <c r="F10" s="79">
        <f>IF(2&lt;2,0,(1+OpexEscal)^(2-2))</f>
        <v/>
      </c>
      <c r="G10" s="79">
        <f>IF(3&lt;2,0,(1+OpexEscal)^(3-2))</f>
        <v/>
      </c>
      <c r="H10" s="79">
        <f>IF(4&lt;2,0,(1+OpexEscal)^(4-2))</f>
        <v/>
      </c>
      <c r="I10" s="79">
        <f>IF(5&lt;2,0,(1+OpexEscal)^(5-2))</f>
        <v/>
      </c>
      <c r="J10" s="79">
        <f>IF(6&lt;2,0,(1+OpexEscal)^(6-2))</f>
        <v/>
      </c>
      <c r="K10" s="79">
        <f>IF(7&lt;2,0,(1+OpexEscal)^(7-2))</f>
        <v/>
      </c>
      <c r="L10" s="79">
        <f>IF(8&lt;2,0,(1+OpexEscal)^(8-2))</f>
        <v/>
      </c>
      <c r="M10" s="79">
        <f>IF(9&lt;2,0,(1+OpexEscal)^(9-2))</f>
        <v/>
      </c>
      <c r="N10" s="79">
        <f>IF(10&lt;2,0,(1+OpexEscal)^(10-2))</f>
        <v/>
      </c>
      <c r="O10" s="79">
        <f>IF(11&lt;2,0,(1+OpexEscal)^(11-2))</f>
        <v/>
      </c>
      <c r="P10" s="79">
        <f>IF(12&lt;2,0,(1+OpexEscal)^(12-2))</f>
        <v/>
      </c>
      <c r="Q10" s="79">
        <f>IF(13&lt;2,0,(1+OpexEscal)^(13-2))</f>
        <v/>
      </c>
    </row>
    <row r="11"/>
    <row r="12">
      <c r="B12" s="4" t="inlineStr">
        <is>
          <t>REVENUE</t>
        </is>
      </c>
      <c r="C12" s="5" t="n"/>
      <c r="D12" s="5" t="n"/>
      <c r="E12" s="5" t="n"/>
      <c r="F12" s="5" t="n"/>
      <c r="G12" s="5" t="n"/>
      <c r="H12" s="5" t="n"/>
      <c r="I12" s="5" t="n"/>
      <c r="J12" s="5" t="n"/>
      <c r="K12" s="5" t="n"/>
      <c r="L12" s="5" t="n"/>
      <c r="M12" s="5" t="n"/>
      <c r="N12" s="5" t="n"/>
      <c r="O12" s="5" t="n"/>
      <c r="P12" s="5" t="n"/>
      <c r="Q12" s="5" t="n"/>
    </row>
    <row r="13">
      <c r="B13" s="9" t="inlineStr">
        <is>
          <t>Gross Potential Rent</t>
        </is>
      </c>
      <c r="D13" s="20">
        <f>KW_IT*D9*D7</f>
        <v/>
      </c>
      <c r="E13" s="20">
        <f>KW_IT*E9*E7</f>
        <v/>
      </c>
      <c r="F13" s="20">
        <f>KW_IT*F9*F7</f>
        <v/>
      </c>
      <c r="G13" s="20">
        <f>KW_IT*G9*G7</f>
        <v/>
      </c>
      <c r="H13" s="20">
        <f>KW_IT*H9*H7</f>
        <v/>
      </c>
      <c r="I13" s="20">
        <f>KW_IT*I9*I7</f>
        <v/>
      </c>
      <c r="J13" s="20">
        <f>KW_IT*J9*J7</f>
        <v/>
      </c>
      <c r="K13" s="20">
        <f>KW_IT*K9*K7</f>
        <v/>
      </c>
      <c r="L13" s="20">
        <f>KW_IT*L9*L7</f>
        <v/>
      </c>
      <c r="M13" s="20">
        <f>KW_IT*M9*M7</f>
        <v/>
      </c>
      <c r="N13" s="20">
        <f>KW_IT*N9*N7</f>
        <v/>
      </c>
      <c r="O13" s="20">
        <f>KW_IT*O9*O7</f>
        <v/>
      </c>
      <c r="P13" s="20">
        <f>KW_IT*P9*P7</f>
        <v/>
      </c>
      <c r="Q13" s="20">
        <f>KW_IT*Q9*Q7</f>
        <v/>
      </c>
    </row>
    <row r="14">
      <c r="B14" s="6" t="inlineStr">
        <is>
          <t>Less: Structural Vacancy and Credit Loss</t>
        </is>
      </c>
      <c r="C14" s="7" t="n"/>
      <c r="D14" s="15">
        <f>-D13*VacancyPct</f>
        <v/>
      </c>
      <c r="E14" s="15">
        <f>-E13*VacancyPct</f>
        <v/>
      </c>
      <c r="F14" s="15">
        <f>-F13*VacancyPct</f>
        <v/>
      </c>
      <c r="G14" s="15">
        <f>-G13*VacancyPct</f>
        <v/>
      </c>
      <c r="H14" s="15">
        <f>-H13*VacancyPct</f>
        <v/>
      </c>
      <c r="I14" s="15">
        <f>-I13*VacancyPct</f>
        <v/>
      </c>
      <c r="J14" s="15">
        <f>-J13*VacancyPct</f>
        <v/>
      </c>
      <c r="K14" s="15">
        <f>-K13*VacancyPct</f>
        <v/>
      </c>
      <c r="L14" s="15">
        <f>-L13*VacancyPct</f>
        <v/>
      </c>
      <c r="M14" s="15">
        <f>-M13*VacancyPct</f>
        <v/>
      </c>
      <c r="N14" s="15">
        <f>-N13*VacancyPct</f>
        <v/>
      </c>
      <c r="O14" s="15">
        <f>-O13*VacancyPct</f>
        <v/>
      </c>
      <c r="P14" s="15">
        <f>-P13*VacancyPct</f>
        <v/>
      </c>
      <c r="Q14" s="15">
        <f>-Q13*VacancyPct</f>
        <v/>
      </c>
    </row>
    <row r="15">
      <c r="B15" s="75" t="inlineStr">
        <is>
          <t>Effective Gross Revenue</t>
        </is>
      </c>
      <c r="C15" s="80" t="n"/>
      <c r="D15" s="62">
        <f>D13+D14</f>
        <v/>
      </c>
      <c r="E15" s="62">
        <f>E13+E14</f>
        <v/>
      </c>
      <c r="F15" s="62">
        <f>F13+F14</f>
        <v/>
      </c>
      <c r="G15" s="62">
        <f>G13+G14</f>
        <v/>
      </c>
      <c r="H15" s="62">
        <f>H13+H14</f>
        <v/>
      </c>
      <c r="I15" s="62">
        <f>I13+I14</f>
        <v/>
      </c>
      <c r="J15" s="62">
        <f>J13+J14</f>
        <v/>
      </c>
      <c r="K15" s="62">
        <f>K13+K14</f>
        <v/>
      </c>
      <c r="L15" s="62">
        <f>L13+L14</f>
        <v/>
      </c>
      <c r="M15" s="62">
        <f>M13+M14</f>
        <v/>
      </c>
      <c r="N15" s="62">
        <f>N13+N14</f>
        <v/>
      </c>
      <c r="O15" s="62">
        <f>O13+O14</f>
        <v/>
      </c>
      <c r="P15" s="62">
        <f>P13+P14</f>
        <v/>
      </c>
      <c r="Q15" s="62">
        <f>Q13+Q14</f>
        <v/>
      </c>
    </row>
    <row r="16"/>
    <row r="17">
      <c r="B17" s="4" t="inlineStr">
        <is>
          <t>LANDLORD RETAINED OPERATING COST</t>
        </is>
      </c>
      <c r="C17" s="5" t="n"/>
      <c r="D17" s="5" t="n"/>
      <c r="E17" s="5" t="n"/>
      <c r="F17" s="5" t="n"/>
      <c r="G17" s="5" t="n"/>
      <c r="H17" s="5" t="n"/>
      <c r="I17" s="5" t="n"/>
      <c r="J17" s="5" t="n"/>
      <c r="K17" s="5" t="n"/>
      <c r="L17" s="5" t="n"/>
      <c r="M17" s="5" t="n"/>
      <c r="N17" s="5" t="n"/>
      <c r="O17" s="5" t="n"/>
      <c r="P17" s="5" t="n"/>
      <c r="Q17" s="5" t="n"/>
    </row>
    <row r="18">
      <c r="B18" s="9" t="inlineStr">
        <is>
          <t>Management Fee</t>
        </is>
      </c>
      <c r="D18" s="20">
        <f>-D15*MgmtFeePct</f>
        <v/>
      </c>
      <c r="E18" s="20">
        <f>-E15*MgmtFeePct</f>
        <v/>
      </c>
      <c r="F18" s="20">
        <f>-F15*MgmtFeePct</f>
        <v/>
      </c>
      <c r="G18" s="20">
        <f>-G15*MgmtFeePct</f>
        <v/>
      </c>
      <c r="H18" s="20">
        <f>-H15*MgmtFeePct</f>
        <v/>
      </c>
      <c r="I18" s="20">
        <f>-I15*MgmtFeePct</f>
        <v/>
      </c>
      <c r="J18" s="20">
        <f>-J15*MgmtFeePct</f>
        <v/>
      </c>
      <c r="K18" s="20">
        <f>-K15*MgmtFeePct</f>
        <v/>
      </c>
      <c r="L18" s="20">
        <f>-L15*MgmtFeePct</f>
        <v/>
      </c>
      <c r="M18" s="20">
        <f>-M15*MgmtFeePct</f>
        <v/>
      </c>
      <c r="N18" s="20">
        <f>-N15*MgmtFeePct</f>
        <v/>
      </c>
      <c r="O18" s="20">
        <f>-O15*MgmtFeePct</f>
        <v/>
      </c>
      <c r="P18" s="20">
        <f>-P15*MgmtFeePct</f>
        <v/>
      </c>
      <c r="Q18" s="20">
        <f>-Q15*MgmtFeePct</f>
        <v/>
      </c>
    </row>
    <row r="19">
      <c r="B19" s="6" t="inlineStr">
        <is>
          <t>Insurance</t>
        </is>
      </c>
      <c r="C19" s="7" t="n"/>
      <c r="D19" s="15">
        <f>-Insurance*D10*D7/12</f>
        <v/>
      </c>
      <c r="E19" s="15">
        <f>-Insurance*E10*E7/12</f>
        <v/>
      </c>
      <c r="F19" s="15">
        <f>-Insurance*F10*F7/12</f>
        <v/>
      </c>
      <c r="G19" s="15">
        <f>-Insurance*G10*G7/12</f>
        <v/>
      </c>
      <c r="H19" s="15">
        <f>-Insurance*H10*H7/12</f>
        <v/>
      </c>
      <c r="I19" s="15">
        <f>-Insurance*I10*I7/12</f>
        <v/>
      </c>
      <c r="J19" s="15">
        <f>-Insurance*J10*J7/12</f>
        <v/>
      </c>
      <c r="K19" s="15">
        <f>-Insurance*K10*K7/12</f>
        <v/>
      </c>
      <c r="L19" s="15">
        <f>-Insurance*L10*L7/12</f>
        <v/>
      </c>
      <c r="M19" s="15">
        <f>-Insurance*M10*M7/12</f>
        <v/>
      </c>
      <c r="N19" s="15">
        <f>-Insurance*N10*N7/12</f>
        <v/>
      </c>
      <c r="O19" s="15">
        <f>-Insurance*O10*O7/12</f>
        <v/>
      </c>
      <c r="P19" s="15">
        <f>-Insurance*P10*P7/12</f>
        <v/>
      </c>
      <c r="Q19" s="15">
        <f>-Insurance*Q10*Q7/12</f>
        <v/>
      </c>
    </row>
    <row r="20">
      <c r="B20" s="9" t="inlineStr">
        <is>
          <t>Capital Reserve</t>
        </is>
      </c>
      <c r="D20" s="20">
        <f>-CapReservePerKw*KW_IT*D10*D7/12</f>
        <v/>
      </c>
      <c r="E20" s="20">
        <f>-CapReservePerKw*KW_IT*E10*E7/12</f>
        <v/>
      </c>
      <c r="F20" s="20">
        <f>-CapReservePerKw*KW_IT*F10*F7/12</f>
        <v/>
      </c>
      <c r="G20" s="20">
        <f>-CapReservePerKw*KW_IT*G10*G7/12</f>
        <v/>
      </c>
      <c r="H20" s="20">
        <f>-CapReservePerKw*KW_IT*H10*H7/12</f>
        <v/>
      </c>
      <c r="I20" s="20">
        <f>-CapReservePerKw*KW_IT*I10*I7/12</f>
        <v/>
      </c>
      <c r="J20" s="20">
        <f>-CapReservePerKw*KW_IT*J10*J7/12</f>
        <v/>
      </c>
      <c r="K20" s="20">
        <f>-CapReservePerKw*KW_IT*K10*K7/12</f>
        <v/>
      </c>
      <c r="L20" s="20">
        <f>-CapReservePerKw*KW_IT*L10*L7/12</f>
        <v/>
      </c>
      <c r="M20" s="20">
        <f>-CapReservePerKw*KW_IT*M10*M7/12</f>
        <v/>
      </c>
      <c r="N20" s="20">
        <f>-CapReservePerKw*KW_IT*N10*N7/12</f>
        <v/>
      </c>
      <c r="O20" s="20">
        <f>-CapReservePerKw*KW_IT*O10*O7/12</f>
        <v/>
      </c>
      <c r="P20" s="20">
        <f>-CapReservePerKw*KW_IT*P10*P7/12</f>
        <v/>
      </c>
      <c r="Q20" s="20">
        <f>-CapReservePerKw*KW_IT*Q10*Q7/12</f>
        <v/>
      </c>
    </row>
    <row r="21">
      <c r="B21" s="6" t="inlineStr">
        <is>
          <t>Landlord G&amp;A</t>
        </is>
      </c>
      <c r="C21" s="7" t="n"/>
      <c r="D21" s="15">
        <f>-LandlordGA*D10*D7/12</f>
        <v/>
      </c>
      <c r="E21" s="15">
        <f>-LandlordGA*E10*E7/12</f>
        <v/>
      </c>
      <c r="F21" s="15">
        <f>-LandlordGA*F10*F7/12</f>
        <v/>
      </c>
      <c r="G21" s="15">
        <f>-LandlordGA*G10*G7/12</f>
        <v/>
      </c>
      <c r="H21" s="15">
        <f>-LandlordGA*H10*H7/12</f>
        <v/>
      </c>
      <c r="I21" s="15">
        <f>-LandlordGA*I10*I7/12</f>
        <v/>
      </c>
      <c r="J21" s="15">
        <f>-LandlordGA*J10*J7/12</f>
        <v/>
      </c>
      <c r="K21" s="15">
        <f>-LandlordGA*K10*K7/12</f>
        <v/>
      </c>
      <c r="L21" s="15">
        <f>-LandlordGA*L10*L7/12</f>
        <v/>
      </c>
      <c r="M21" s="15">
        <f>-LandlordGA*M10*M7/12</f>
        <v/>
      </c>
      <c r="N21" s="15">
        <f>-LandlordGA*N10*N7/12</f>
        <v/>
      </c>
      <c r="O21" s="15">
        <f>-LandlordGA*O10*O7/12</f>
        <v/>
      </c>
      <c r="P21" s="15">
        <f>-LandlordGA*P10*P7/12</f>
        <v/>
      </c>
      <c r="Q21" s="15">
        <f>-LandlordGA*Q10*Q7/12</f>
        <v/>
      </c>
    </row>
    <row r="22">
      <c r="B22" s="75" t="inlineStr">
        <is>
          <t>Total Landlord Retained Operating Cost</t>
        </is>
      </c>
      <c r="C22" s="80" t="n"/>
      <c r="D22" s="62">
        <f>SUM(D18:D21)</f>
        <v/>
      </c>
      <c r="E22" s="62">
        <f>SUM(E18:E21)</f>
        <v/>
      </c>
      <c r="F22" s="62">
        <f>SUM(F18:F21)</f>
        <v/>
      </c>
      <c r="G22" s="62">
        <f>SUM(G18:G21)</f>
        <v/>
      </c>
      <c r="H22" s="62">
        <f>SUM(H18:H21)</f>
        <v/>
      </c>
      <c r="I22" s="62">
        <f>SUM(I18:I21)</f>
        <v/>
      </c>
      <c r="J22" s="62">
        <f>SUM(J18:J21)</f>
        <v/>
      </c>
      <c r="K22" s="62">
        <f>SUM(K18:K21)</f>
        <v/>
      </c>
      <c r="L22" s="62">
        <f>SUM(L18:L21)</f>
        <v/>
      </c>
      <c r="M22" s="62">
        <f>SUM(M18:M21)</f>
        <v/>
      </c>
      <c r="N22" s="62">
        <f>SUM(N18:N21)</f>
        <v/>
      </c>
      <c r="O22" s="62">
        <f>SUM(O18:O21)</f>
        <v/>
      </c>
      <c r="P22" s="62">
        <f>SUM(P18:P21)</f>
        <v/>
      </c>
      <c r="Q22" s="62">
        <f>SUM(Q18:Q21)</f>
        <v/>
      </c>
    </row>
    <row r="23"/>
    <row r="24">
      <c r="B24" s="81" t="inlineStr">
        <is>
          <t>NET OPERATING INCOME</t>
        </is>
      </c>
      <c r="C24" s="2" t="n"/>
      <c r="D24" s="65">
        <f>D15+D22</f>
        <v/>
      </c>
      <c r="E24" s="65">
        <f>E15+E22</f>
        <v/>
      </c>
      <c r="F24" s="65">
        <f>F15+F22</f>
        <v/>
      </c>
      <c r="G24" s="65">
        <f>G15+G22</f>
        <v/>
      </c>
      <c r="H24" s="65">
        <f>H15+H22</f>
        <v/>
      </c>
      <c r="I24" s="65">
        <f>I15+I22</f>
        <v/>
      </c>
      <c r="J24" s="65">
        <f>J15+J22</f>
        <v/>
      </c>
      <c r="K24" s="65">
        <f>K15+K22</f>
        <v/>
      </c>
      <c r="L24" s="65">
        <f>L15+L22</f>
        <v/>
      </c>
      <c r="M24" s="65">
        <f>M15+M22</f>
        <v/>
      </c>
      <c r="N24" s="65">
        <f>N15+N22</f>
        <v/>
      </c>
      <c r="O24" s="65">
        <f>O15+O22</f>
        <v/>
      </c>
      <c r="P24" s="65">
        <f>P15+P22</f>
        <v/>
      </c>
      <c r="Q24" s="65">
        <f>Q15+Q22</f>
        <v/>
      </c>
    </row>
    <row r="25"/>
    <row r="26"/>
    <row r="27">
      <c r="B27" s="4" t="inlineStr">
        <is>
          <t>MEMO</t>
        </is>
      </c>
      <c r="C27" s="5" t="n"/>
      <c r="D27" s="5" t="n"/>
      <c r="E27" s="5" t="n"/>
      <c r="F27" s="5" t="n"/>
      <c r="G27" s="5" t="n"/>
      <c r="H27" s="5" t="n"/>
      <c r="I27" s="5" t="n"/>
      <c r="J27" s="5" t="n"/>
      <c r="K27" s="5" t="n"/>
      <c r="L27" s="5" t="n"/>
      <c r="M27" s="5" t="n"/>
      <c r="N27" s="5" t="n"/>
      <c r="O27" s="5" t="n"/>
      <c r="P27" s="5" t="n"/>
      <c r="Q27" s="5" t="n"/>
    </row>
    <row r="28">
      <c r="B28" s="9" t="inlineStr">
        <is>
          <t>NOI Margin (% of EGR)</t>
        </is>
      </c>
      <c r="D28" s="57">
        <f>IF(D15=0,0,D24/D15)</f>
        <v/>
      </c>
      <c r="E28" s="57">
        <f>IF(E15=0,0,E24/E15)</f>
        <v/>
      </c>
      <c r="F28" s="57">
        <f>IF(F15=0,0,F24/F15)</f>
        <v/>
      </c>
      <c r="G28" s="57">
        <f>IF(G15=0,0,G24/G15)</f>
        <v/>
      </c>
      <c r="H28" s="57">
        <f>IF(H15=0,0,H24/H15)</f>
        <v/>
      </c>
      <c r="I28" s="57">
        <f>IF(I15=0,0,I24/I15)</f>
        <v/>
      </c>
      <c r="J28" s="57">
        <f>IF(J15=0,0,J24/J15)</f>
        <v/>
      </c>
      <c r="K28" s="57">
        <f>IF(K15=0,0,K24/K15)</f>
        <v/>
      </c>
      <c r="L28" s="57">
        <f>IF(L15=0,0,L24/L15)</f>
        <v/>
      </c>
      <c r="M28" s="57">
        <f>IF(M15=0,0,M24/M15)</f>
        <v/>
      </c>
      <c r="N28" s="57">
        <f>IF(N15=0,0,N24/N15)</f>
        <v/>
      </c>
      <c r="O28" s="57">
        <f>IF(O15=0,0,O24/O15)</f>
        <v/>
      </c>
      <c r="P28" s="57">
        <f>IF(P15=0,0,P24/P15)</f>
        <v/>
      </c>
      <c r="Q28" s="57">
        <f>IF(Q15=0,0,Q24/Q15)</f>
        <v/>
      </c>
    </row>
    <row r="29">
      <c r="B29" s="6" t="inlineStr">
        <is>
          <t>NOI per kW per Month</t>
        </is>
      </c>
      <c r="C29" s="7" t="n"/>
      <c r="D29" s="25">
        <f>IF(D7=0,0,D24/KW_IT/D7)</f>
        <v/>
      </c>
      <c r="E29" s="25">
        <f>IF(E7=0,0,E24/KW_IT/E7)</f>
        <v/>
      </c>
      <c r="F29" s="25">
        <f>IF(F7=0,0,F24/KW_IT/F7)</f>
        <v/>
      </c>
      <c r="G29" s="25">
        <f>IF(G7=0,0,G24/KW_IT/G7)</f>
        <v/>
      </c>
      <c r="H29" s="25">
        <f>IF(H7=0,0,H24/KW_IT/H7)</f>
        <v/>
      </c>
      <c r="I29" s="25">
        <f>IF(I7=0,0,I24/KW_IT/I7)</f>
        <v/>
      </c>
      <c r="J29" s="25">
        <f>IF(J7=0,0,J24/KW_IT/J7)</f>
        <v/>
      </c>
      <c r="K29" s="25">
        <f>IF(K7=0,0,K24/KW_IT/K7)</f>
        <v/>
      </c>
      <c r="L29" s="25">
        <f>IF(L7=0,0,L24/KW_IT/L7)</f>
        <v/>
      </c>
      <c r="M29" s="25">
        <f>IF(M7=0,0,M24/KW_IT/M7)</f>
        <v/>
      </c>
      <c r="N29" s="25">
        <f>IF(N7=0,0,N24/KW_IT/N7)</f>
        <v/>
      </c>
      <c r="O29" s="25">
        <f>IF(O7=0,0,O24/KW_IT/O7)</f>
        <v/>
      </c>
      <c r="P29" s="25">
        <f>IF(P7=0,0,P24/KW_IT/P7)</f>
        <v/>
      </c>
      <c r="Q29" s="25">
        <f>IF(Q7=0,0,Q24/KW_IT/Q7)</f>
        <v/>
      </c>
    </row>
    <row r="30">
      <c r="B30" s="9" t="inlineStr">
        <is>
          <t>Yield on Total Project Cost (annualised)</t>
        </is>
      </c>
      <c r="D30" s="57">
        <f>IF(D7=0,0,D24/(D7/12)/TotalProjectCost)</f>
        <v/>
      </c>
      <c r="E30" s="57">
        <f>IF(E7=0,0,E24/(E7/12)/TotalProjectCost)</f>
        <v/>
      </c>
      <c r="F30" s="57">
        <f>IF(F7=0,0,F24/(F7/12)/TotalProjectCost)</f>
        <v/>
      </c>
      <c r="G30" s="57">
        <f>IF(G7=0,0,G24/(G7/12)/TotalProjectCost)</f>
        <v/>
      </c>
      <c r="H30" s="57">
        <f>IF(H7=0,0,H24/(H7/12)/TotalProjectCost)</f>
        <v/>
      </c>
      <c r="I30" s="57">
        <f>IF(I7=0,0,I24/(I7/12)/TotalProjectCost)</f>
        <v/>
      </c>
      <c r="J30" s="57">
        <f>IF(J7=0,0,J24/(J7/12)/TotalProjectCost)</f>
        <v/>
      </c>
      <c r="K30" s="57">
        <f>IF(K7=0,0,K24/(K7/12)/TotalProjectCost)</f>
        <v/>
      </c>
      <c r="L30" s="57">
        <f>IF(L7=0,0,L24/(L7/12)/TotalProjectCost)</f>
        <v/>
      </c>
      <c r="M30" s="57">
        <f>IF(M7=0,0,M24/(M7/12)/TotalProjectCost)</f>
        <v/>
      </c>
      <c r="N30" s="57">
        <f>IF(N7=0,0,N24/(N7/12)/TotalProjectCost)</f>
        <v/>
      </c>
      <c r="O30" s="57">
        <f>IF(O7=0,0,O24/(O7/12)/TotalProjectCost)</f>
        <v/>
      </c>
      <c r="P30" s="57">
        <f>IF(P7=0,0,P24/(P7/12)/TotalProjectCost)</f>
        <v/>
      </c>
      <c r="Q30" s="57">
        <f>IF(Q7=0,0,Q24/(Q7/12)/TotalProjectCost)</f>
        <v/>
      </c>
    </row>
    <row r="31">
      <c r="B31" s="6" t="inlineStr">
        <is>
          <t>Inside the Initial Lease Term</t>
        </is>
      </c>
      <c r="C31" s="7" t="n"/>
      <c r="D31" s="11">
        <f>IF(0&lt;2,"n/a",IF(0-2&lt;LeaseTermYrs,"Yes","Rollover"))</f>
        <v/>
      </c>
      <c r="E31" s="11">
        <f>IF(1&lt;2,"n/a",IF(1-2&lt;LeaseTermYrs,"Yes","Rollover"))</f>
        <v/>
      </c>
      <c r="F31" s="11">
        <f>IF(2&lt;2,"n/a",IF(2-2&lt;LeaseTermYrs,"Yes","Rollover"))</f>
        <v/>
      </c>
      <c r="G31" s="11">
        <f>IF(3&lt;2,"n/a",IF(3-2&lt;LeaseTermYrs,"Yes","Rollover"))</f>
        <v/>
      </c>
      <c r="H31" s="11">
        <f>IF(4&lt;2,"n/a",IF(4-2&lt;LeaseTermYrs,"Yes","Rollover"))</f>
        <v/>
      </c>
      <c r="I31" s="11">
        <f>IF(5&lt;2,"n/a",IF(5-2&lt;LeaseTermYrs,"Yes","Rollover"))</f>
        <v/>
      </c>
      <c r="J31" s="11">
        <f>IF(6&lt;2,"n/a",IF(6-2&lt;LeaseTermYrs,"Yes","Rollover"))</f>
        <v/>
      </c>
      <c r="K31" s="11">
        <f>IF(7&lt;2,"n/a",IF(7-2&lt;LeaseTermYrs,"Yes","Rollover"))</f>
        <v/>
      </c>
      <c r="L31" s="11">
        <f>IF(8&lt;2,"n/a",IF(8-2&lt;LeaseTermYrs,"Yes","Rollover"))</f>
        <v/>
      </c>
      <c r="M31" s="11">
        <f>IF(9&lt;2,"n/a",IF(9-2&lt;LeaseTermYrs,"Yes","Rollover"))</f>
        <v/>
      </c>
      <c r="N31" s="11">
        <f>IF(10&lt;2,"n/a",IF(10-2&lt;LeaseTermYrs,"Yes","Rollover"))</f>
        <v/>
      </c>
      <c r="O31" s="11">
        <f>IF(11&lt;2,"n/a",IF(11-2&lt;LeaseTermYrs,"Yes","Rollover"))</f>
        <v/>
      </c>
      <c r="P31" s="11">
        <f>IF(12&lt;2,"n/a",IF(12-2&lt;LeaseTermYrs,"Yes","Rollover"))</f>
        <v/>
      </c>
      <c r="Q31" s="11">
        <f>IF(13&lt;2,"n/a",IF(13-2&lt;LeaseTermYrs,"Yes","Rollover"))</f>
        <v/>
      </c>
    </row>
    <row r="32"/>
    <row r="33"/>
    <row r="34">
      <c r="B34" s="3" t="inlineStr">
        <is>
          <t>Source: rate per kW per month benchmarked to 2025 and 2026 wholesale colocation leasing. Powered shell product prices at $60 to $100 per kW per month and is not comparable to the fully fitted modular delivery modelled here.</t>
        </is>
      </c>
    </row>
    <row r="35">
      <c r="B35" s="3" t="inlineStr">
        <is>
          <t>Note: Year 2 carries a partial year at the months of operation input. Rent commences at completion under the assumed signed lease, so no absorption ramp is modelled. A speculative build would require a lease up curve and would not support senior debt at closing.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1"/>
  <sheetViews>
    <sheetView showGridLines="0" workbookViewId="0">
      <selection activeCell="A1" sqref="A1"/>
    </sheetView>
  </sheetViews>
  <sheetFormatPr baseColWidth="8" defaultRowHeight="15"/>
  <cols>
    <col width="2.4" customWidth="1" min="1" max="1"/>
    <col width="48" customWidth="1" min="2" max="2"/>
    <col width="1.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0" customHeight="1">
      <c r="B1" s="1" t="inlineStr">
        <is>
          <t>DEBT SCHEDULE   |   CONSTRUCTION FACILITY, TAKEOUT SIZING AND AMORTISATION</t>
        </is>
      </c>
      <c r="C1" s="2" t="n"/>
      <c r="D1" s="2" t="n"/>
      <c r="E1" s="2" t="n"/>
      <c r="F1" s="2" t="n"/>
      <c r="G1" s="2" t="n"/>
      <c r="H1" s="2" t="n"/>
      <c r="I1" s="2" t="n"/>
      <c r="J1" s="2" t="n"/>
      <c r="K1" s="2" t="n"/>
      <c r="L1" s="2" t="n"/>
      <c r="M1" s="2" t="n"/>
      <c r="N1" s="2" t="n"/>
      <c r="O1" s="2" t="n"/>
      <c r="P1" s="2" t="n"/>
      <c r="Q1" s="2" t="n"/>
    </row>
    <row r="2">
      <c r="B2" s="3" t="inlineStr">
        <is>
          <t>Structure A. The construction facility capitalises interest to the end of Year 2 and is then refinanced into permanent debt sized off stabilised net operating income.</t>
        </is>
      </c>
    </row>
    <row r="3"/>
    <row r="4" ht="28" customHeight="1">
      <c r="B4" s="1" t="inlineStr">
        <is>
          <t>Period</t>
        </is>
      </c>
      <c r="C4" s="56" t="n"/>
      <c r="D4" s="78" t="n">
        <v>0</v>
      </c>
      <c r="E4" s="78" t="n">
        <v>1</v>
      </c>
      <c r="F4" s="78" t="n">
        <v>2</v>
      </c>
      <c r="G4" s="78" t="n">
        <v>3</v>
      </c>
      <c r="H4" s="78" t="n">
        <v>4</v>
      </c>
      <c r="I4" s="78" t="n">
        <v>5</v>
      </c>
      <c r="J4" s="78" t="n">
        <v>6</v>
      </c>
      <c r="K4" s="78" t="n">
        <v>7</v>
      </c>
      <c r="L4" s="78" t="n">
        <v>8</v>
      </c>
      <c r="M4" s="78" t="n">
        <v>9</v>
      </c>
      <c r="N4" s="78" t="n">
        <v>10</v>
      </c>
      <c r="O4" s="78" t="n">
        <v>11</v>
      </c>
      <c r="P4" s="78" t="n">
        <v>12</v>
      </c>
      <c r="Q4" s="78" t="n">
        <v>13</v>
      </c>
    </row>
    <row r="5"/>
    <row r="6">
      <c r="B6" s="4" t="inlineStr">
        <is>
          <t>SENIOR CONSTRUCTION FACILITY</t>
        </is>
      </c>
      <c r="C6" s="5" t="n"/>
      <c r="D6" s="5" t="n"/>
      <c r="E6" s="5" t="n"/>
      <c r="F6" s="5" t="n"/>
      <c r="G6" s="5" t="n"/>
      <c r="H6" s="5" t="n"/>
      <c r="I6" s="5" t="n"/>
      <c r="J6" s="5" t="n"/>
      <c r="K6" s="5" t="n"/>
      <c r="L6" s="5" t="n"/>
      <c r="M6" s="5" t="n"/>
      <c r="N6" s="5" t="n"/>
      <c r="O6" s="5" t="n"/>
      <c r="P6" s="5" t="n"/>
      <c r="Q6" s="5" t="n"/>
    </row>
    <row r="7">
      <c r="B7" s="9" t="inlineStr">
        <is>
          <t>Balance, Beginning of Year</t>
        </is>
      </c>
      <c r="D7" s="20">
        <f>0</f>
        <v/>
      </c>
      <c r="E7" s="20">
        <f>D10</f>
        <v/>
      </c>
      <c r="F7" s="20">
        <f>E10</f>
        <v/>
      </c>
      <c r="G7" s="20">
        <f>F10</f>
        <v/>
      </c>
      <c r="H7" s="20">
        <f>G10</f>
        <v/>
      </c>
      <c r="I7" s="20">
        <f>H10</f>
        <v/>
      </c>
      <c r="J7" s="20">
        <f>I10</f>
        <v/>
      </c>
      <c r="K7" s="20">
        <f>J10</f>
        <v/>
      </c>
      <c r="L7" s="20">
        <f>K10</f>
        <v/>
      </c>
      <c r="M7" s="20">
        <f>L10</f>
        <v/>
      </c>
      <c r="N7" s="20">
        <f>M10</f>
        <v/>
      </c>
      <c r="O7" s="20">
        <f>N10</f>
        <v/>
      </c>
      <c r="P7" s="20">
        <f>O10</f>
        <v/>
      </c>
      <c r="Q7" s="20">
        <f>P10</f>
        <v/>
      </c>
    </row>
    <row r="8">
      <c r="B8" s="6" t="inlineStr">
        <is>
          <t>Funding and Capitalised Interest in the Year</t>
        </is>
      </c>
      <c r="C8" s="7" t="n"/>
      <c r="D8" s="13">
        <f>SnrBalM0</f>
        <v/>
      </c>
      <c r="E8" s="15">
        <f>SnrBalM12-SnrBalM0</f>
        <v/>
      </c>
      <c r="F8" s="15">
        <f>SnrBalM24-SnrBalM12</f>
        <v/>
      </c>
      <c r="G8" s="15">
        <f>0</f>
        <v/>
      </c>
      <c r="H8" s="15">
        <f>0</f>
        <v/>
      </c>
      <c r="I8" s="15">
        <f>0</f>
        <v/>
      </c>
      <c r="J8" s="15">
        <f>0</f>
        <v/>
      </c>
      <c r="K8" s="15">
        <f>0</f>
        <v/>
      </c>
      <c r="L8" s="15">
        <f>0</f>
        <v/>
      </c>
      <c r="M8" s="15">
        <f>0</f>
        <v/>
      </c>
      <c r="N8" s="15">
        <f>0</f>
        <v/>
      </c>
      <c r="O8" s="15">
        <f>0</f>
        <v/>
      </c>
      <c r="P8" s="15">
        <f>0</f>
        <v/>
      </c>
      <c r="Q8" s="15">
        <f>0</f>
        <v/>
      </c>
    </row>
    <row r="9">
      <c r="B9" s="9" t="inlineStr">
        <is>
          <t>Repayment at Refinancing</t>
        </is>
      </c>
      <c r="D9" s="20">
        <f>0</f>
        <v/>
      </c>
      <c r="E9" s="20">
        <f>0</f>
        <v/>
      </c>
      <c r="F9" s="20">
        <f>-(F7+F8)</f>
        <v/>
      </c>
      <c r="G9" s="20">
        <f>0</f>
        <v/>
      </c>
      <c r="H9" s="20">
        <f>0</f>
        <v/>
      </c>
      <c r="I9" s="20">
        <f>0</f>
        <v/>
      </c>
      <c r="J9" s="20">
        <f>0</f>
        <v/>
      </c>
      <c r="K9" s="20">
        <f>0</f>
        <v/>
      </c>
      <c r="L9" s="20">
        <f>0</f>
        <v/>
      </c>
      <c r="M9" s="20">
        <f>0</f>
        <v/>
      </c>
      <c r="N9" s="20">
        <f>0</f>
        <v/>
      </c>
      <c r="O9" s="20">
        <f>0</f>
        <v/>
      </c>
      <c r="P9" s="20">
        <f>0</f>
        <v/>
      </c>
      <c r="Q9" s="20">
        <f>0</f>
        <v/>
      </c>
    </row>
    <row r="10">
      <c r="B10" s="75" t="inlineStr">
        <is>
          <t>Balance, End of Year</t>
        </is>
      </c>
      <c r="C10" s="61" t="n"/>
      <c r="D10" s="62">
        <f>D7+D8+D9</f>
        <v/>
      </c>
      <c r="E10" s="62">
        <f>E7+E8+E9</f>
        <v/>
      </c>
      <c r="F10" s="62">
        <f>F7+F8+F9</f>
        <v/>
      </c>
      <c r="G10" s="62">
        <f>G7+G8+G9</f>
        <v/>
      </c>
      <c r="H10" s="62">
        <f>H7+H8+H9</f>
        <v/>
      </c>
      <c r="I10" s="62">
        <f>I7+I8+I9</f>
        <v/>
      </c>
      <c r="J10" s="62">
        <f>J7+J8+J9</f>
        <v/>
      </c>
      <c r="K10" s="62">
        <f>K7+K8+K9</f>
        <v/>
      </c>
      <c r="L10" s="62">
        <f>L7+L8+L9</f>
        <v/>
      </c>
      <c r="M10" s="62">
        <f>M7+M8+M9</f>
        <v/>
      </c>
      <c r="N10" s="62">
        <f>N7+N8+N9</f>
        <v/>
      </c>
      <c r="O10" s="62">
        <f>O7+O8+O9</f>
        <v/>
      </c>
      <c r="P10" s="62">
        <f>P7+P8+P9</f>
        <v/>
      </c>
      <c r="Q10" s="62">
        <f>Q7+Q8+Q9</f>
        <v/>
      </c>
    </row>
    <row r="11"/>
    <row r="12"/>
    <row r="13">
      <c r="B13" s="4" t="inlineStr">
        <is>
          <t>PERMANENT DEBT SIZING AT THE END OF YEAR 2</t>
        </is>
      </c>
      <c r="C13" s="5" t="n"/>
      <c r="D13" s="5" t="n"/>
      <c r="E13" s="5" t="n"/>
      <c r="F13" s="5" t="n"/>
      <c r="G13" s="5" t="n"/>
      <c r="H13" s="5" t="n"/>
      <c r="I13" s="5" t="n"/>
      <c r="J13" s="5" t="n"/>
      <c r="K13" s="5" t="n"/>
      <c r="L13" s="5" t="n"/>
      <c r="M13" s="5" t="n"/>
      <c r="N13" s="5" t="n"/>
      <c r="O13" s="5" t="n"/>
      <c r="P13" s="5" t="n"/>
      <c r="Q13" s="5" t="n"/>
    </row>
    <row r="14">
      <c r="B14" s="16" t="inlineStr">
        <is>
          <t>Stabilised NOI, First Full Operating Year</t>
        </is>
      </c>
      <c r="D14" s="14">
        <f>StabilisedNOI</f>
        <v/>
      </c>
    </row>
    <row r="15">
      <c r="B15" s="18" t="inlineStr">
        <is>
          <t>Stabilised Value at the Valuation Cap Rate</t>
        </is>
      </c>
      <c r="C15" s="7" t="n"/>
      <c r="D15" s="19">
        <f>D14/StabCapRate</f>
        <v/>
      </c>
      <c r="E15" s="7" t="n"/>
      <c r="F15" s="7" t="n"/>
      <c r="G15" s="7" t="n"/>
      <c r="H15" s="7" t="n"/>
      <c r="I15" s="7" t="n"/>
      <c r="J15" s="7" t="n"/>
      <c r="K15" s="7" t="n"/>
      <c r="L15" s="7" t="n"/>
      <c r="M15" s="7" t="n"/>
      <c r="N15" s="7" t="n"/>
      <c r="O15" s="7" t="n"/>
      <c r="P15" s="7" t="n"/>
      <c r="Q15" s="7" t="n"/>
    </row>
    <row r="16">
      <c r="B16" s="9" t="inlineStr">
        <is>
          <t>C-PACE Annual Assessment Payment</t>
        </is>
      </c>
      <c r="D16" s="20">
        <f>PMT(PaceRate,PaceAmortYrs,-PaceCommitment)</f>
        <v/>
      </c>
    </row>
    <row r="17">
      <c r="B17" s="6" t="inlineStr">
        <is>
          <t>Permanent Debt Service Constant per $1</t>
        </is>
      </c>
      <c r="C17" s="7" t="n"/>
      <c r="D17" s="25">
        <f>PMT(PermRate,PermAmortYrs,-1)</f>
        <v/>
      </c>
      <c r="E17" s="7" t="n"/>
      <c r="F17" s="7" t="n"/>
      <c r="G17" s="7" t="n"/>
      <c r="H17" s="7" t="n"/>
      <c r="I17" s="7" t="n"/>
      <c r="J17" s="7" t="n"/>
      <c r="K17" s="7" t="n"/>
      <c r="L17" s="7" t="n"/>
      <c r="M17" s="7" t="n"/>
      <c r="N17" s="7" t="n"/>
      <c r="O17" s="7" t="n"/>
      <c r="P17" s="7" t="n"/>
      <c r="Q17" s="7" t="n"/>
    </row>
    <row r="18">
      <c r="B18" s="9" t="inlineStr">
        <is>
          <t>Sizing Test 1: LTV Cap</t>
        </is>
      </c>
      <c r="D18" s="20">
        <f>D15*PermLTV</f>
        <v/>
      </c>
    </row>
    <row r="19">
      <c r="B19" s="6" t="inlineStr">
        <is>
          <t>Sizing Test 2: Minimum DSCR</t>
        </is>
      </c>
      <c r="C19" s="7" t="n"/>
      <c r="D19" s="15">
        <f>MAX(0,(D14/MinDSCR-D16)/D17)</f>
        <v/>
      </c>
      <c r="E19" s="7" t="n"/>
      <c r="F19" s="7" t="n"/>
      <c r="G19" s="7" t="n"/>
      <c r="H19" s="7" t="n"/>
      <c r="I19" s="7" t="n"/>
      <c r="J19" s="7" t="n"/>
      <c r="K19" s="7" t="n"/>
      <c r="L19" s="7" t="n"/>
      <c r="M19" s="7" t="n"/>
      <c r="N19" s="7" t="n"/>
      <c r="O19" s="7" t="n"/>
      <c r="P19" s="7" t="n"/>
      <c r="Q19" s="7" t="n"/>
    </row>
    <row r="20">
      <c r="B20" s="9" t="inlineStr">
        <is>
          <t>Sizing Test 3: Loan to Cost Cap</t>
        </is>
      </c>
      <c r="D20" s="20">
        <f>TotalProjectCost*PermLTC</f>
        <v/>
      </c>
    </row>
    <row r="21">
      <c r="B21" s="18" t="inlineStr">
        <is>
          <t>Permanent Loan Proceeds</t>
        </is>
      </c>
      <c r="C21" s="7" t="n"/>
      <c r="D21" s="82">
        <f>MIN(D18,D19,D20)</f>
        <v/>
      </c>
      <c r="E21" s="7" t="n"/>
      <c r="F21" s="7" t="n"/>
      <c r="G21" s="7" t="n"/>
      <c r="H21" s="7" t="n"/>
      <c r="I21" s="7" t="n"/>
      <c r="J21" s="7" t="n"/>
      <c r="K21" s="7" t="n"/>
      <c r="L21" s="7" t="n"/>
      <c r="M21" s="7" t="n"/>
      <c r="N21" s="7" t="n"/>
      <c r="O21" s="7" t="n"/>
      <c r="P21" s="7" t="n"/>
      <c r="Q21" s="7" t="n"/>
    </row>
    <row r="22">
      <c r="B22" s="9" t="inlineStr">
        <is>
          <t>Binding Constraint</t>
        </is>
      </c>
      <c r="D22" s="83">
        <f>IF(D21=D18,"LTV Cap",IF(D21=D19,"Minimum DSCR","Loan to Cost Cap"))</f>
        <v/>
      </c>
    </row>
    <row r="23">
      <c r="B23" s="6" t="inlineStr">
        <is>
          <t>Resulting Loan to Value</t>
        </is>
      </c>
      <c r="C23" s="7" t="n"/>
      <c r="D23" s="28">
        <f>D21/D15</f>
        <v/>
      </c>
      <c r="E23" s="7" t="n"/>
      <c r="F23" s="7" t="n"/>
      <c r="G23" s="7" t="n"/>
      <c r="H23" s="7" t="n"/>
      <c r="I23" s="7" t="n"/>
      <c r="J23" s="7" t="n"/>
      <c r="K23" s="7" t="n"/>
      <c r="L23" s="7" t="n"/>
      <c r="M23" s="7" t="n"/>
      <c r="N23" s="7" t="n"/>
      <c r="O23" s="7" t="n"/>
      <c r="P23" s="7" t="n"/>
      <c r="Q23" s="7" t="n"/>
    </row>
    <row r="24">
      <c r="B24" s="9" t="inlineStr">
        <is>
          <t>Less: Refinancing Fee</t>
        </is>
      </c>
      <c r="D24" s="20">
        <f>-D21*RefiFeePct</f>
        <v/>
      </c>
    </row>
    <row r="25">
      <c r="B25" s="6" t="inlineStr">
        <is>
          <t>Less: Construction Facility Payoff</t>
        </is>
      </c>
      <c r="C25" s="7" t="n"/>
      <c r="D25" s="15">
        <f>-SnrCommitment</f>
        <v/>
      </c>
      <c r="E25" s="7" t="n"/>
      <c r="F25" s="7" t="n"/>
      <c r="G25" s="7" t="n"/>
      <c r="H25" s="7" t="n"/>
      <c r="I25" s="7" t="n"/>
      <c r="J25" s="7" t="n"/>
      <c r="K25" s="7" t="n"/>
      <c r="L25" s="7" t="n"/>
      <c r="M25" s="7" t="n"/>
      <c r="N25" s="7" t="n"/>
      <c r="O25" s="7" t="n"/>
      <c r="P25" s="7" t="n"/>
      <c r="Q25" s="7" t="n"/>
    </row>
    <row r="26">
      <c r="B26" s="75" t="inlineStr">
        <is>
          <t>Net Refinancing Proceeds to Equity</t>
        </is>
      </c>
      <c r="C26" s="61" t="n"/>
      <c r="D26" s="62">
        <f>D21+D24+D25</f>
        <v/>
      </c>
      <c r="E26" s="61" t="n"/>
      <c r="F26" s="61" t="n"/>
      <c r="G26" s="61" t="n"/>
      <c r="H26" s="61" t="n"/>
      <c r="I26" s="61" t="n"/>
      <c r="J26" s="61" t="n"/>
      <c r="K26" s="61" t="n"/>
      <c r="L26" s="61" t="n"/>
      <c r="M26" s="61" t="n"/>
      <c r="N26" s="61" t="n"/>
      <c r="O26" s="61" t="n"/>
      <c r="P26" s="61" t="n"/>
      <c r="Q26" s="61" t="n"/>
    </row>
    <row r="27"/>
    <row r="28"/>
    <row r="29">
      <c r="B29" s="4" t="inlineStr">
        <is>
          <t>PERMANENT LOAN AMORTISATION</t>
        </is>
      </c>
      <c r="C29" s="5" t="n"/>
      <c r="D29" s="5" t="n"/>
      <c r="E29" s="5" t="n"/>
      <c r="F29" s="5" t="n"/>
      <c r="G29" s="5" t="n"/>
      <c r="H29" s="5" t="n"/>
      <c r="I29" s="5" t="n"/>
      <c r="J29" s="5" t="n"/>
      <c r="K29" s="5" t="n"/>
      <c r="L29" s="5" t="n"/>
      <c r="M29" s="5" t="n"/>
      <c r="N29" s="5" t="n"/>
      <c r="O29" s="5" t="n"/>
      <c r="P29" s="5" t="n"/>
      <c r="Q29" s="5" t="n"/>
    </row>
    <row r="30">
      <c r="B30" s="9" t="inlineStr">
        <is>
          <t>Balance, Beginning of Year</t>
        </is>
      </c>
      <c r="D30" s="20">
        <f>0</f>
        <v/>
      </c>
      <c r="E30" s="20">
        <f>0</f>
        <v/>
      </c>
      <c r="F30" s="20">
        <f>0</f>
        <v/>
      </c>
      <c r="G30" s="20">
        <f>PermLoan</f>
        <v/>
      </c>
      <c r="H30" s="20">
        <f>G34</f>
        <v/>
      </c>
      <c r="I30" s="20">
        <f>H34</f>
        <v/>
      </c>
      <c r="J30" s="20">
        <f>I34</f>
        <v/>
      </c>
      <c r="K30" s="20">
        <f>J34</f>
        <v/>
      </c>
      <c r="L30" s="20">
        <f>K34</f>
        <v/>
      </c>
      <c r="M30" s="20">
        <f>L34</f>
        <v/>
      </c>
      <c r="N30" s="20">
        <f>M34</f>
        <v/>
      </c>
      <c r="O30" s="20">
        <f>N34</f>
        <v/>
      </c>
      <c r="P30" s="20">
        <f>O34</f>
        <v/>
      </c>
      <c r="Q30" s="20">
        <f>P34</f>
        <v/>
      </c>
    </row>
    <row r="31">
      <c r="B31" s="6" t="inlineStr">
        <is>
          <t>Total Debt Service</t>
        </is>
      </c>
      <c r="C31" s="7" t="n"/>
      <c r="D31" s="15">
        <f>0</f>
        <v/>
      </c>
      <c r="E31" s="15">
        <f>0</f>
        <v/>
      </c>
      <c r="F31" s="15">
        <f>0</f>
        <v/>
      </c>
      <c r="G31" s="15">
        <f>PermLoan*PermConstant</f>
        <v/>
      </c>
      <c r="H31" s="15">
        <f>PermLoan*PermConstant</f>
        <v/>
      </c>
      <c r="I31" s="15">
        <f>PermLoan*PermConstant</f>
        <v/>
      </c>
      <c r="J31" s="15">
        <f>PermLoan*PermConstant</f>
        <v/>
      </c>
      <c r="K31" s="15">
        <f>PermLoan*PermConstant</f>
        <v/>
      </c>
      <c r="L31" s="15">
        <f>PermLoan*PermConstant</f>
        <v/>
      </c>
      <c r="M31" s="15">
        <f>PermLoan*PermConstant</f>
        <v/>
      </c>
      <c r="N31" s="15">
        <f>PermLoan*PermConstant</f>
        <v/>
      </c>
      <c r="O31" s="15">
        <f>PermLoan*PermConstant</f>
        <v/>
      </c>
      <c r="P31" s="15">
        <f>PermLoan*PermConstant</f>
        <v/>
      </c>
      <c r="Q31" s="15">
        <f>PermLoan*PermConstant</f>
        <v/>
      </c>
    </row>
    <row r="32">
      <c r="B32" s="9" t="inlineStr">
        <is>
          <t>Interest Component</t>
        </is>
      </c>
      <c r="D32" s="20">
        <f>0</f>
        <v/>
      </c>
      <c r="E32" s="20">
        <f>0</f>
        <v/>
      </c>
      <c r="F32" s="20">
        <f>0</f>
        <v/>
      </c>
      <c r="G32" s="20">
        <f>G30*PermRate</f>
        <v/>
      </c>
      <c r="H32" s="20">
        <f>H30*PermRate</f>
        <v/>
      </c>
      <c r="I32" s="20">
        <f>I30*PermRate</f>
        <v/>
      </c>
      <c r="J32" s="20">
        <f>J30*PermRate</f>
        <v/>
      </c>
      <c r="K32" s="20">
        <f>K30*PermRate</f>
        <v/>
      </c>
      <c r="L32" s="20">
        <f>L30*PermRate</f>
        <v/>
      </c>
      <c r="M32" s="20">
        <f>M30*PermRate</f>
        <v/>
      </c>
      <c r="N32" s="20">
        <f>N30*PermRate</f>
        <v/>
      </c>
      <c r="O32" s="20">
        <f>O30*PermRate</f>
        <v/>
      </c>
      <c r="P32" s="20">
        <f>P30*PermRate</f>
        <v/>
      </c>
      <c r="Q32" s="20">
        <f>Q30*PermRate</f>
        <v/>
      </c>
    </row>
    <row r="33">
      <c r="B33" s="6" t="inlineStr">
        <is>
          <t>Principal Component</t>
        </is>
      </c>
      <c r="C33" s="7" t="n"/>
      <c r="D33" s="15">
        <f>0</f>
        <v/>
      </c>
      <c r="E33" s="15">
        <f>0</f>
        <v/>
      </c>
      <c r="F33" s="15">
        <f>0</f>
        <v/>
      </c>
      <c r="G33" s="15">
        <f>G31-G32</f>
        <v/>
      </c>
      <c r="H33" s="15">
        <f>H31-H32</f>
        <v/>
      </c>
      <c r="I33" s="15">
        <f>I31-I32</f>
        <v/>
      </c>
      <c r="J33" s="15">
        <f>J31-J32</f>
        <v/>
      </c>
      <c r="K33" s="15">
        <f>K31-K32</f>
        <v/>
      </c>
      <c r="L33" s="15">
        <f>L31-L32</f>
        <v/>
      </c>
      <c r="M33" s="15">
        <f>M31-M32</f>
        <v/>
      </c>
      <c r="N33" s="15">
        <f>N31-N32</f>
        <v/>
      </c>
      <c r="O33" s="15">
        <f>O31-O32</f>
        <v/>
      </c>
      <c r="P33" s="15">
        <f>P31-P32</f>
        <v/>
      </c>
      <c r="Q33" s="15">
        <f>Q31-Q32</f>
        <v/>
      </c>
    </row>
    <row r="34">
      <c r="B34" s="75" t="inlineStr">
        <is>
          <t>Balance, End of Year</t>
        </is>
      </c>
      <c r="C34" s="61" t="n"/>
      <c r="D34" s="62">
        <f>0</f>
        <v/>
      </c>
      <c r="E34" s="62">
        <f>0</f>
        <v/>
      </c>
      <c r="F34" s="62">
        <f>0</f>
        <v/>
      </c>
      <c r="G34" s="62">
        <f>G30-G33</f>
        <v/>
      </c>
      <c r="H34" s="62">
        <f>H30-H33</f>
        <v/>
      </c>
      <c r="I34" s="62">
        <f>I30-I33</f>
        <v/>
      </c>
      <c r="J34" s="62">
        <f>J30-J33</f>
        <v/>
      </c>
      <c r="K34" s="62">
        <f>K30-K33</f>
        <v/>
      </c>
      <c r="L34" s="62">
        <f>L30-L33</f>
        <v/>
      </c>
      <c r="M34" s="62">
        <f>M30-M33</f>
        <v/>
      </c>
      <c r="N34" s="62">
        <f>N30-N33</f>
        <v/>
      </c>
      <c r="O34" s="62">
        <f>O30-O33</f>
        <v/>
      </c>
      <c r="P34" s="62">
        <f>P30-P33</f>
        <v/>
      </c>
      <c r="Q34" s="62">
        <f>Q30-Q33</f>
        <v/>
      </c>
    </row>
    <row r="35"/>
    <row r="36"/>
    <row r="37">
      <c r="B37" s="4" t="inlineStr">
        <is>
          <t>C-PACE ASSESSMENT AMORTISATION</t>
        </is>
      </c>
      <c r="C37" s="5" t="n"/>
      <c r="D37" s="5" t="n"/>
      <c r="E37" s="5" t="n"/>
      <c r="F37" s="5" t="n"/>
      <c r="G37" s="5" t="n"/>
      <c r="H37" s="5" t="n"/>
      <c r="I37" s="5" t="n"/>
      <c r="J37" s="5" t="n"/>
      <c r="K37" s="5" t="n"/>
      <c r="L37" s="5" t="n"/>
      <c r="M37" s="5" t="n"/>
      <c r="N37" s="5" t="n"/>
      <c r="O37" s="5" t="n"/>
      <c r="P37" s="5" t="n"/>
      <c r="Q37" s="5" t="n"/>
    </row>
    <row r="38">
      <c r="B38" s="9" t="inlineStr">
        <is>
          <t>Balance, Beginning of Year</t>
        </is>
      </c>
      <c r="D38" s="20">
        <f>0</f>
        <v/>
      </c>
      <c r="E38" s="14">
        <f>PaceBalM0</f>
        <v/>
      </c>
      <c r="F38" s="14">
        <f>PaceBalM12</f>
        <v/>
      </c>
      <c r="G38" s="14">
        <f>PaceCommitment</f>
        <v/>
      </c>
      <c r="H38" s="20">
        <f>G42</f>
        <v/>
      </c>
      <c r="I38" s="20">
        <f>H42</f>
        <v/>
      </c>
      <c r="J38" s="20">
        <f>I42</f>
        <v/>
      </c>
      <c r="K38" s="20">
        <f>J42</f>
        <v/>
      </c>
      <c r="L38" s="20">
        <f>K42</f>
        <v/>
      </c>
      <c r="M38" s="20">
        <f>L42</f>
        <v/>
      </c>
      <c r="N38" s="20">
        <f>M42</f>
        <v/>
      </c>
      <c r="O38" s="20">
        <f>N42</f>
        <v/>
      </c>
      <c r="P38" s="20">
        <f>O42</f>
        <v/>
      </c>
      <c r="Q38" s="20">
        <f>P42</f>
        <v/>
      </c>
    </row>
    <row r="39">
      <c r="B39" s="6" t="inlineStr">
        <is>
          <t>Annual Assessment Payment</t>
        </is>
      </c>
      <c r="C39" s="7" t="n"/>
      <c r="D39" s="15">
        <f>0</f>
        <v/>
      </c>
      <c r="E39" s="15">
        <f>0</f>
        <v/>
      </c>
      <c r="F39" s="15">
        <f>0</f>
        <v/>
      </c>
      <c r="G39" s="15">
        <f>PaceConstant</f>
        <v/>
      </c>
      <c r="H39" s="15">
        <f>PaceConstant</f>
        <v/>
      </c>
      <c r="I39" s="15">
        <f>PaceConstant</f>
        <v/>
      </c>
      <c r="J39" s="15">
        <f>PaceConstant</f>
        <v/>
      </c>
      <c r="K39" s="15">
        <f>PaceConstant</f>
        <v/>
      </c>
      <c r="L39" s="15">
        <f>PaceConstant</f>
        <v/>
      </c>
      <c r="M39" s="15">
        <f>PaceConstant</f>
        <v/>
      </c>
      <c r="N39" s="15">
        <f>PaceConstant</f>
        <v/>
      </c>
      <c r="O39" s="15">
        <f>PaceConstant</f>
        <v/>
      </c>
      <c r="P39" s="15">
        <f>PaceConstant</f>
        <v/>
      </c>
      <c r="Q39" s="15">
        <f>PaceConstant</f>
        <v/>
      </c>
    </row>
    <row r="40">
      <c r="B40" s="9" t="inlineStr">
        <is>
          <t>Interest Component</t>
        </is>
      </c>
      <c r="D40" s="20">
        <f>0</f>
        <v/>
      </c>
      <c r="E40" s="20">
        <f>0</f>
        <v/>
      </c>
      <c r="F40" s="20">
        <f>0</f>
        <v/>
      </c>
      <c r="G40" s="20">
        <f>G38*PaceRate</f>
        <v/>
      </c>
      <c r="H40" s="20">
        <f>H38*PaceRate</f>
        <v/>
      </c>
      <c r="I40" s="20">
        <f>I38*PaceRate</f>
        <v/>
      </c>
      <c r="J40" s="20">
        <f>J38*PaceRate</f>
        <v/>
      </c>
      <c r="K40" s="20">
        <f>K38*PaceRate</f>
        <v/>
      </c>
      <c r="L40" s="20">
        <f>L38*PaceRate</f>
        <v/>
      </c>
      <c r="M40" s="20">
        <f>M38*PaceRate</f>
        <v/>
      </c>
      <c r="N40" s="20">
        <f>N38*PaceRate</f>
        <v/>
      </c>
      <c r="O40" s="20">
        <f>O38*PaceRate</f>
        <v/>
      </c>
      <c r="P40" s="20">
        <f>P38*PaceRate</f>
        <v/>
      </c>
      <c r="Q40" s="20">
        <f>Q38*PaceRate</f>
        <v/>
      </c>
    </row>
    <row r="41">
      <c r="B41" s="6" t="inlineStr">
        <is>
          <t>Principal Component</t>
        </is>
      </c>
      <c r="C41" s="7" t="n"/>
      <c r="D41" s="15">
        <f>0</f>
        <v/>
      </c>
      <c r="E41" s="15">
        <f>0</f>
        <v/>
      </c>
      <c r="F41" s="15">
        <f>0</f>
        <v/>
      </c>
      <c r="G41" s="15">
        <f>G39-G40</f>
        <v/>
      </c>
      <c r="H41" s="15">
        <f>H39-H40</f>
        <v/>
      </c>
      <c r="I41" s="15">
        <f>I39-I40</f>
        <v/>
      </c>
      <c r="J41" s="15">
        <f>J39-J40</f>
        <v/>
      </c>
      <c r="K41" s="15">
        <f>K39-K40</f>
        <v/>
      </c>
      <c r="L41" s="15">
        <f>L39-L40</f>
        <v/>
      </c>
      <c r="M41" s="15">
        <f>M39-M40</f>
        <v/>
      </c>
      <c r="N41" s="15">
        <f>N39-N40</f>
        <v/>
      </c>
      <c r="O41" s="15">
        <f>O39-O40</f>
        <v/>
      </c>
      <c r="P41" s="15">
        <f>P39-P40</f>
        <v/>
      </c>
      <c r="Q41" s="15">
        <f>Q39-Q40</f>
        <v/>
      </c>
    </row>
    <row r="42">
      <c r="B42" s="75" t="inlineStr">
        <is>
          <t>Balance, End of Year</t>
        </is>
      </c>
      <c r="C42" s="61" t="n"/>
      <c r="D42" s="84">
        <f>PaceBalM0</f>
        <v/>
      </c>
      <c r="E42" s="84">
        <f>PaceBalM12</f>
        <v/>
      </c>
      <c r="F42" s="84">
        <f>PaceBalM24</f>
        <v/>
      </c>
      <c r="G42" s="62">
        <f>G38-G41</f>
        <v/>
      </c>
      <c r="H42" s="62">
        <f>H38-H41</f>
        <v/>
      </c>
      <c r="I42" s="62">
        <f>I38-I41</f>
        <v/>
      </c>
      <c r="J42" s="62">
        <f>J38-J41</f>
        <v/>
      </c>
      <c r="K42" s="62">
        <f>K38-K41</f>
        <v/>
      </c>
      <c r="L42" s="62">
        <f>L38-L41</f>
        <v/>
      </c>
      <c r="M42" s="62">
        <f>M38-M41</f>
        <v/>
      </c>
      <c r="N42" s="62">
        <f>N38-N41</f>
        <v/>
      </c>
      <c r="O42" s="62">
        <f>O38-O41</f>
        <v/>
      </c>
      <c r="P42" s="62">
        <f>P38-P41</f>
        <v/>
      </c>
      <c r="Q42" s="62">
        <f>Q38-Q41</f>
        <v/>
      </c>
    </row>
    <row r="43"/>
    <row r="44"/>
    <row r="45">
      <c r="B45" s="4" t="inlineStr">
        <is>
          <t>CREDIT METRICS</t>
        </is>
      </c>
      <c r="C45" s="5" t="n"/>
      <c r="D45" s="5" t="n"/>
      <c r="E45" s="5" t="n"/>
      <c r="F45" s="5" t="n"/>
      <c r="G45" s="5" t="n"/>
      <c r="H45" s="5" t="n"/>
      <c r="I45" s="5" t="n"/>
      <c r="J45" s="5" t="n"/>
      <c r="K45" s="5" t="n"/>
      <c r="L45" s="5" t="n"/>
      <c r="M45" s="5" t="n"/>
      <c r="N45" s="5" t="n"/>
      <c r="O45" s="5" t="n"/>
      <c r="P45" s="5" t="n"/>
      <c r="Q45" s="5" t="n"/>
    </row>
    <row r="46">
      <c r="B46" s="16" t="inlineStr">
        <is>
          <t>Total Cash Debt Service</t>
        </is>
      </c>
      <c r="D46" s="23">
        <f>D31+D39</f>
        <v/>
      </c>
      <c r="E46" s="23">
        <f>E31+E39</f>
        <v/>
      </c>
      <c r="F46" s="23">
        <f>F31+F39</f>
        <v/>
      </c>
      <c r="G46" s="23">
        <f>G31+G39</f>
        <v/>
      </c>
      <c r="H46" s="23">
        <f>H31+H39</f>
        <v/>
      </c>
      <c r="I46" s="23">
        <f>I31+I39</f>
        <v/>
      </c>
      <c r="J46" s="23">
        <f>J31+J39</f>
        <v/>
      </c>
      <c r="K46" s="23">
        <f>K31+K39</f>
        <v/>
      </c>
      <c r="L46" s="23">
        <f>L31+L39</f>
        <v/>
      </c>
      <c r="M46" s="23">
        <f>M31+M39</f>
        <v/>
      </c>
      <c r="N46" s="23">
        <f>N31+N39</f>
        <v/>
      </c>
      <c r="O46" s="23">
        <f>O31+O39</f>
        <v/>
      </c>
      <c r="P46" s="23">
        <f>P31+P39</f>
        <v/>
      </c>
      <c r="Q46" s="23">
        <f>Q31+Q39</f>
        <v/>
      </c>
    </row>
    <row r="47">
      <c r="B47" s="6" t="inlineStr">
        <is>
          <t>Total Debt Outstanding</t>
        </is>
      </c>
      <c r="C47" s="7" t="n"/>
      <c r="D47" s="15">
        <f>D10+D42</f>
        <v/>
      </c>
      <c r="E47" s="15">
        <f>E10+E42</f>
        <v/>
      </c>
      <c r="F47" s="15">
        <f>F10+F42</f>
        <v/>
      </c>
      <c r="G47" s="15">
        <f>G34+G42</f>
        <v/>
      </c>
      <c r="H47" s="15">
        <f>H34+H42</f>
        <v/>
      </c>
      <c r="I47" s="15">
        <f>I34+I42</f>
        <v/>
      </c>
      <c r="J47" s="15">
        <f>J34+J42</f>
        <v/>
      </c>
      <c r="K47" s="15">
        <f>K34+K42</f>
        <v/>
      </c>
      <c r="L47" s="15">
        <f>L34+L42</f>
        <v/>
      </c>
      <c r="M47" s="15">
        <f>M34+M42</f>
        <v/>
      </c>
      <c r="N47" s="15">
        <f>N34+N42</f>
        <v/>
      </c>
      <c r="O47" s="15">
        <f>O34+O42</f>
        <v/>
      </c>
      <c r="P47" s="15">
        <f>P34+P42</f>
        <v/>
      </c>
      <c r="Q47" s="15">
        <f>Q34+Q42</f>
        <v/>
      </c>
    </row>
    <row r="48">
      <c r="B48" s="9" t="inlineStr">
        <is>
          <t>DSCR</t>
        </is>
      </c>
      <c r="D48" s="85">
        <f>IF(D46=0,0,'Operating Model'!D24/D46)</f>
        <v/>
      </c>
      <c r="E48" s="85">
        <f>IF(E46=0,0,'Operating Model'!E24/E46)</f>
        <v/>
      </c>
      <c r="F48" s="85">
        <f>IF(F46=0,0,'Operating Model'!F24/F46)</f>
        <v/>
      </c>
      <c r="G48" s="85">
        <f>IF(G46=0,0,'Operating Model'!G24/G46)</f>
        <v/>
      </c>
      <c r="H48" s="85">
        <f>IF(H46=0,0,'Operating Model'!H24/H46)</f>
        <v/>
      </c>
      <c r="I48" s="85">
        <f>IF(I46=0,0,'Operating Model'!I24/I46)</f>
        <v/>
      </c>
      <c r="J48" s="85">
        <f>IF(J46=0,0,'Operating Model'!J24/J46)</f>
        <v/>
      </c>
      <c r="K48" s="85">
        <f>IF(K46=0,0,'Operating Model'!K24/K46)</f>
        <v/>
      </c>
      <c r="L48" s="85">
        <f>IF(L46=0,0,'Operating Model'!L24/L46)</f>
        <v/>
      </c>
      <c r="M48" s="85">
        <f>IF(M46=0,0,'Operating Model'!M24/M46)</f>
        <v/>
      </c>
      <c r="N48" s="85">
        <f>IF(N46=0,0,'Operating Model'!N24/N46)</f>
        <v/>
      </c>
      <c r="O48" s="85">
        <f>IF(O46=0,0,'Operating Model'!O24/O46)</f>
        <v/>
      </c>
      <c r="P48" s="85">
        <f>IF(P46=0,0,'Operating Model'!P24/P46)</f>
        <v/>
      </c>
      <c r="Q48" s="85">
        <f>IF(Q46=0,0,'Operating Model'!Q24/Q46)</f>
        <v/>
      </c>
    </row>
    <row r="49">
      <c r="B49" s="6" t="inlineStr">
        <is>
          <t>Debt Yield on Total Debt</t>
        </is>
      </c>
      <c r="C49" s="7" t="n"/>
      <c r="D49" s="28">
        <f>IF(D47=0,0,'Operating Model'!D24/D47)</f>
        <v/>
      </c>
      <c r="E49" s="28">
        <f>IF(E47=0,0,'Operating Model'!E24/E47)</f>
        <v/>
      </c>
      <c r="F49" s="28">
        <f>IF(F47=0,0,'Operating Model'!F24/F47)</f>
        <v/>
      </c>
      <c r="G49" s="28">
        <f>IF(G47=0,0,'Operating Model'!G24/G47)</f>
        <v/>
      </c>
      <c r="H49" s="28">
        <f>IF(H47=0,0,'Operating Model'!H24/H47)</f>
        <v/>
      </c>
      <c r="I49" s="28">
        <f>IF(I47=0,0,'Operating Model'!I24/I47)</f>
        <v/>
      </c>
      <c r="J49" s="28">
        <f>IF(J47=0,0,'Operating Model'!J24/J47)</f>
        <v/>
      </c>
      <c r="K49" s="28">
        <f>IF(K47=0,0,'Operating Model'!K24/K47)</f>
        <v/>
      </c>
      <c r="L49" s="28">
        <f>IF(L47=0,0,'Operating Model'!L24/L47)</f>
        <v/>
      </c>
      <c r="M49" s="28">
        <f>IF(M47=0,0,'Operating Model'!M24/M47)</f>
        <v/>
      </c>
      <c r="N49" s="28">
        <f>IF(N47=0,0,'Operating Model'!N24/N47)</f>
        <v/>
      </c>
      <c r="O49" s="28">
        <f>IF(O47=0,0,'Operating Model'!O24/O47)</f>
        <v/>
      </c>
      <c r="P49" s="28">
        <f>IF(P47=0,0,'Operating Model'!P24/P47)</f>
        <v/>
      </c>
      <c r="Q49" s="28">
        <f>IF(Q47=0,0,'Operating Model'!Q24/Q47)</f>
        <v/>
      </c>
    </row>
    <row r="50">
      <c r="B50" s="9" t="inlineStr">
        <is>
          <t>Loan to Value at the Exit Cap Rate</t>
        </is>
      </c>
      <c r="D50" s="57">
        <f>IF(OR(D47=0,'Operating Model'!D24=0),0,D47/('Operating Model'!D24/ExitCapRate))</f>
        <v/>
      </c>
      <c r="E50" s="57">
        <f>IF(OR(E47=0,'Operating Model'!E24=0),0,E47/('Operating Model'!E24/ExitCapRate))</f>
        <v/>
      </c>
      <c r="F50" s="57">
        <f>IF(OR(F47=0,'Operating Model'!F24=0),0,F47/('Operating Model'!F24/ExitCapRate))</f>
        <v/>
      </c>
      <c r="G50" s="57">
        <f>IF(OR(G47=0,'Operating Model'!G24=0),0,G47/('Operating Model'!G24/ExitCapRate))</f>
        <v/>
      </c>
      <c r="H50" s="57">
        <f>IF(OR(H47=0,'Operating Model'!H24=0),0,H47/('Operating Model'!H24/ExitCapRate))</f>
        <v/>
      </c>
      <c r="I50" s="57">
        <f>IF(OR(I47=0,'Operating Model'!I24=0),0,I47/('Operating Model'!I24/ExitCapRate))</f>
        <v/>
      </c>
      <c r="J50" s="57">
        <f>IF(OR(J47=0,'Operating Model'!J24=0),0,J47/('Operating Model'!J24/ExitCapRate))</f>
        <v/>
      </c>
      <c r="K50" s="57">
        <f>IF(OR(K47=0,'Operating Model'!K24=0),0,K47/('Operating Model'!K24/ExitCapRate))</f>
        <v/>
      </c>
      <c r="L50" s="57">
        <f>IF(OR(L47=0,'Operating Model'!L24=0),0,L47/('Operating Model'!L24/ExitCapRate))</f>
        <v/>
      </c>
      <c r="M50" s="57">
        <f>IF(OR(M47=0,'Operating Model'!M24=0),0,M47/('Operating Model'!M24/ExitCapRate))</f>
        <v/>
      </c>
      <c r="N50" s="57">
        <f>IF(OR(N47=0,'Operating Model'!N24=0),0,N47/('Operating Model'!N24/ExitCapRate))</f>
        <v/>
      </c>
      <c r="O50" s="57">
        <f>IF(OR(O47=0,'Operating Model'!O24=0),0,O47/('Operating Model'!O24/ExitCapRate))</f>
        <v/>
      </c>
      <c r="P50" s="57">
        <f>IF(OR(P47=0,'Operating Model'!P24=0),0,P47/('Operating Model'!P24/ExitCapRate))</f>
        <v/>
      </c>
      <c r="Q50" s="57">
        <f>IF(OR(Q47=0,'Operating Model'!Q24=0),0,Q47/('Operating Model'!Q24/ExitCapRate))</f>
        <v/>
      </c>
    </row>
    <row r="51"/>
    <row r="52">
      <c r="B52" s="4" t="inlineStr">
        <is>
          <t>STABILISED CREDIT SUMMARY</t>
        </is>
      </c>
      <c r="C52" s="5" t="n"/>
      <c r="D52" s="5" t="n"/>
      <c r="E52" s="5" t="n"/>
      <c r="F52" s="5" t="n"/>
      <c r="G52" s="5" t="n"/>
      <c r="H52" s="5" t="n"/>
      <c r="I52" s="5" t="n"/>
      <c r="J52" s="5" t="n"/>
      <c r="K52" s="5" t="n"/>
      <c r="L52" s="5" t="n"/>
      <c r="M52" s="5" t="n"/>
      <c r="N52" s="5" t="n"/>
      <c r="O52" s="5" t="n"/>
      <c r="P52" s="5" t="n"/>
      <c r="Q52" s="5" t="n"/>
    </row>
    <row r="53">
      <c r="B53" s="6" t="inlineStr">
        <is>
          <t>Stabilised DSCR (Year 3)</t>
        </is>
      </c>
      <c r="C53" s="7" t="n"/>
      <c r="D53" s="79">
        <f>G48</f>
        <v/>
      </c>
      <c r="E53" s="7" t="n"/>
      <c r="F53" s="7" t="n"/>
      <c r="G53" s="7" t="n"/>
      <c r="H53" s="7" t="n"/>
      <c r="I53" s="7" t="n"/>
      <c r="J53" s="7" t="n"/>
      <c r="K53" s="7" t="n"/>
      <c r="L53" s="7" t="n"/>
      <c r="M53" s="7" t="n"/>
      <c r="N53" s="7" t="n"/>
      <c r="O53" s="7" t="n"/>
      <c r="P53" s="7" t="n"/>
      <c r="Q53" s="7" t="n"/>
    </row>
    <row r="54">
      <c r="B54" s="9" t="inlineStr">
        <is>
          <t>Stabilised Debt Yield (Year 3)</t>
        </is>
      </c>
      <c r="D54" s="57">
        <f>G49</f>
        <v/>
      </c>
    </row>
    <row r="55">
      <c r="B55" s="6" t="inlineStr">
        <is>
          <t>Stabilised Loan to Value (Year 3)</t>
        </is>
      </c>
      <c r="C55" s="7" t="n"/>
      <c r="D55" s="28">
        <f>G50</f>
        <v/>
      </c>
      <c r="E55" s="7" t="n"/>
      <c r="F55" s="7" t="n"/>
      <c r="G55" s="7" t="n"/>
      <c r="H55" s="7" t="n"/>
      <c r="I55" s="7" t="n"/>
      <c r="J55" s="7" t="n"/>
      <c r="K55" s="7" t="n"/>
      <c r="L55" s="7" t="n"/>
      <c r="M55" s="7" t="n"/>
      <c r="N55" s="7" t="n"/>
      <c r="O55" s="7" t="n"/>
      <c r="P55" s="7" t="n"/>
      <c r="Q55" s="7" t="n"/>
    </row>
    <row r="56">
      <c r="B56" s="9" t="inlineStr">
        <is>
          <t>Total Debt at Stabilisation</t>
        </is>
      </c>
      <c r="D56" s="20">
        <f>G47</f>
        <v/>
      </c>
    </row>
    <row r="57">
      <c r="B57" s="6" t="inlineStr">
        <is>
          <t>Total Debt per kW of Critical IT Load</t>
        </is>
      </c>
      <c r="C57" s="7" t="n"/>
      <c r="D57" s="15">
        <f>G47/KW_IT</f>
        <v/>
      </c>
      <c r="E57" s="7" t="n"/>
      <c r="F57" s="7" t="n"/>
      <c r="G57" s="7" t="n"/>
      <c r="H57" s="7" t="n"/>
      <c r="I57" s="7" t="n"/>
      <c r="J57" s="7" t="n"/>
      <c r="K57" s="7" t="n"/>
      <c r="L57" s="7" t="n"/>
      <c r="M57" s="7" t="n"/>
      <c r="N57" s="7" t="n"/>
      <c r="O57" s="7" t="n"/>
      <c r="P57" s="7" t="n"/>
      <c r="Q57" s="7" t="n"/>
    </row>
    <row r="58"/>
    <row r="59">
      <c r="B59" s="3" t="inlineStr">
        <is>
          <t>Note: the construction facility capitalises interest, so no cash debt service arises before Year 3. The C-PACE assessment likewise capitalises to completion and begins amortising with the first full operating year.</t>
        </is>
      </c>
    </row>
    <row r="60">
      <c r="B60" s="3" t="inlineStr">
        <is>
          <t>Note: DSCR and debt yield in Year 2 reflect a partial operating year, so Year 3 is the first comparable stabilised reading. The minimum DSCR test in the sizing block above uses stabilised NOI.</t>
        </is>
      </c>
    </row>
    <row r="61">
      <c r="B61" s="3" t="inlineStr">
        <is>
          <t>Note: a floating rate construction facility requires a rate cap at closing. The C-PACE tranche is fixed for the full assessment term and carries no rate reset risk.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2"/>
  <sheetViews>
    <sheetView showGridLines="0" workbookViewId="0">
      <selection activeCell="A1" sqref="A1"/>
    </sheetView>
  </sheetViews>
  <sheetFormatPr baseColWidth="8" defaultRowHeight="15"/>
  <cols>
    <col width="2.4" customWidth="1" min="1" max="1"/>
    <col width="48" customWidth="1" min="2" max="2"/>
    <col width="1.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0" customHeight="1">
      <c r="B1" s="1" t="inlineStr">
        <is>
          <t>RETURNS   |   UNLEVERED, LEVERED AND THE PROMOTE WATERFALL</t>
        </is>
      </c>
      <c r="C1" s="2" t="n"/>
      <c r="D1" s="2" t="n"/>
      <c r="E1" s="2" t="n"/>
      <c r="F1" s="2" t="n"/>
      <c r="G1" s="2" t="n"/>
      <c r="H1" s="2" t="n"/>
      <c r="I1" s="2" t="n"/>
      <c r="J1" s="2" t="n"/>
      <c r="K1" s="2" t="n"/>
      <c r="L1" s="2" t="n"/>
      <c r="M1" s="2" t="n"/>
      <c r="N1" s="2" t="n"/>
      <c r="O1" s="2" t="n"/>
      <c r="P1" s="2" t="n"/>
      <c r="Q1" s="2" t="n"/>
    </row>
    <row r="2">
      <c r="B2" s="3" t="inlineStr">
        <is>
          <t>Two years of construction followed by a ten year stabilised hold. The exit occurs at the end of Year 12 on the forward year NOI.</t>
        </is>
      </c>
    </row>
    <row r="3"/>
    <row r="4" ht="28" customHeight="1">
      <c r="B4" s="1" t="inlineStr">
        <is>
          <t>Period</t>
        </is>
      </c>
      <c r="C4" s="56" t="n"/>
      <c r="D4" s="78" t="n">
        <v>0</v>
      </c>
      <c r="E4" s="78" t="n">
        <v>1</v>
      </c>
      <c r="F4" s="78" t="n">
        <v>2</v>
      </c>
      <c r="G4" s="78" t="n">
        <v>3</v>
      </c>
      <c r="H4" s="78" t="n">
        <v>4</v>
      </c>
      <c r="I4" s="78" t="n">
        <v>5</v>
      </c>
      <c r="J4" s="78" t="n">
        <v>6</v>
      </c>
      <c r="K4" s="78" t="n">
        <v>7</v>
      </c>
      <c r="L4" s="78" t="n">
        <v>8</v>
      </c>
      <c r="M4" s="78" t="n">
        <v>9</v>
      </c>
      <c r="N4" s="78" t="n">
        <v>10</v>
      </c>
      <c r="O4" s="78" t="n">
        <v>11</v>
      </c>
      <c r="P4" s="78" t="n">
        <v>12</v>
      </c>
      <c r="Q4" s="78" t="n">
        <v>13</v>
      </c>
    </row>
    <row r="5"/>
    <row r="6">
      <c r="B6" s="4" t="inlineStr">
        <is>
          <t>UNLEVERED PROJECT CASH FLOW</t>
        </is>
      </c>
      <c r="C6" s="5" t="n"/>
      <c r="D6" s="5" t="n"/>
      <c r="E6" s="5" t="n"/>
      <c r="F6" s="5" t="n"/>
      <c r="G6" s="5" t="n"/>
      <c r="H6" s="5" t="n"/>
      <c r="I6" s="5" t="n"/>
      <c r="J6" s="5" t="n"/>
      <c r="K6" s="5" t="n"/>
      <c r="L6" s="5" t="n"/>
      <c r="M6" s="5" t="n"/>
      <c r="N6" s="5" t="n"/>
      <c r="O6" s="5" t="n"/>
      <c r="P6" s="5" t="n"/>
      <c r="Q6" s="5" t="n"/>
    </row>
    <row r="7">
      <c r="B7" s="9" t="inlineStr">
        <is>
          <t>Project Cost Outflow</t>
        </is>
      </c>
      <c r="D7" s="20">
        <f>-'Draw Schedule'!D53</f>
        <v/>
      </c>
      <c r="E7" s="20">
        <f>-'Draw Schedule'!E53</f>
        <v/>
      </c>
      <c r="F7" s="20">
        <f>-'Draw Schedule'!F53</f>
        <v/>
      </c>
      <c r="G7" s="20">
        <f>0</f>
        <v/>
      </c>
      <c r="H7" s="20">
        <f>0</f>
        <v/>
      </c>
      <c r="I7" s="20">
        <f>0</f>
        <v/>
      </c>
      <c r="J7" s="20">
        <f>0</f>
        <v/>
      </c>
      <c r="K7" s="20">
        <f>0</f>
        <v/>
      </c>
      <c r="L7" s="20">
        <f>0</f>
        <v/>
      </c>
      <c r="M7" s="20">
        <f>0</f>
        <v/>
      </c>
      <c r="N7" s="20">
        <f>0</f>
        <v/>
      </c>
      <c r="O7" s="20">
        <f>0</f>
        <v/>
      </c>
      <c r="P7" s="20">
        <f>0</f>
        <v/>
      </c>
    </row>
    <row r="8">
      <c r="B8" s="6" t="inlineStr">
        <is>
          <t>Net Operating Income</t>
        </is>
      </c>
      <c r="C8" s="7" t="n"/>
      <c r="D8" s="13">
        <f>'Operating Model'!D24</f>
        <v/>
      </c>
      <c r="E8" s="13">
        <f>'Operating Model'!E24</f>
        <v/>
      </c>
      <c r="F8" s="13">
        <f>'Operating Model'!F24</f>
        <v/>
      </c>
      <c r="G8" s="13">
        <f>'Operating Model'!G24</f>
        <v/>
      </c>
      <c r="H8" s="13">
        <f>'Operating Model'!H24</f>
        <v/>
      </c>
      <c r="I8" s="13">
        <f>'Operating Model'!I24</f>
        <v/>
      </c>
      <c r="J8" s="13">
        <f>'Operating Model'!J24</f>
        <v/>
      </c>
      <c r="K8" s="13">
        <f>'Operating Model'!K24</f>
        <v/>
      </c>
      <c r="L8" s="13">
        <f>'Operating Model'!L24</f>
        <v/>
      </c>
      <c r="M8" s="13">
        <f>'Operating Model'!M24</f>
        <v/>
      </c>
      <c r="N8" s="13">
        <f>'Operating Model'!N24</f>
        <v/>
      </c>
      <c r="O8" s="13">
        <f>'Operating Model'!O24</f>
        <v/>
      </c>
      <c r="P8" s="13">
        <f>'Operating Model'!P24</f>
        <v/>
      </c>
      <c r="Q8" s="7" t="n"/>
    </row>
    <row r="9">
      <c r="B9" s="9" t="inlineStr">
        <is>
          <t>Net Sale Proceeds</t>
        </is>
      </c>
      <c r="D9" s="20">
        <f>0</f>
        <v/>
      </c>
      <c r="E9" s="20">
        <f>0</f>
        <v/>
      </c>
      <c r="F9" s="20">
        <f>0</f>
        <v/>
      </c>
      <c r="G9" s="20">
        <f>0</f>
        <v/>
      </c>
      <c r="H9" s="20">
        <f>0</f>
        <v/>
      </c>
      <c r="I9" s="20">
        <f>0</f>
        <v/>
      </c>
      <c r="J9" s="20">
        <f>0</f>
        <v/>
      </c>
      <c r="K9" s="20">
        <f>0</f>
        <v/>
      </c>
      <c r="L9" s="20">
        <f>0</f>
        <v/>
      </c>
      <c r="M9" s="20">
        <f>0</f>
        <v/>
      </c>
      <c r="N9" s="20">
        <f>0</f>
        <v/>
      </c>
      <c r="O9" s="20">
        <f>0</f>
        <v/>
      </c>
      <c r="P9" s="20">
        <f>'Operating Model'!Q24/ExitCapRate*(1-SellCostPct)</f>
        <v/>
      </c>
    </row>
    <row r="10">
      <c r="B10" s="75" t="inlineStr">
        <is>
          <t>Unlevered Cash Flow</t>
        </is>
      </c>
      <c r="C10" s="61" t="n"/>
      <c r="D10" s="62">
        <f>SUM(D7:D9)</f>
        <v/>
      </c>
      <c r="E10" s="62">
        <f>SUM(E7:E9)</f>
        <v/>
      </c>
      <c r="F10" s="62">
        <f>SUM(F7:F9)</f>
        <v/>
      </c>
      <c r="G10" s="62">
        <f>SUM(G7:G9)</f>
        <v/>
      </c>
      <c r="H10" s="62">
        <f>SUM(H7:H9)</f>
        <v/>
      </c>
      <c r="I10" s="62">
        <f>SUM(I7:I9)</f>
        <v/>
      </c>
      <c r="J10" s="62">
        <f>SUM(J7:J9)</f>
        <v/>
      </c>
      <c r="K10" s="62">
        <f>SUM(K7:K9)</f>
        <v/>
      </c>
      <c r="L10" s="62">
        <f>SUM(L7:L9)</f>
        <v/>
      </c>
      <c r="M10" s="62">
        <f>SUM(M7:M9)</f>
        <v/>
      </c>
      <c r="N10" s="62">
        <f>SUM(N7:N9)</f>
        <v/>
      </c>
      <c r="O10" s="62">
        <f>SUM(O7:O9)</f>
        <v/>
      </c>
      <c r="P10" s="62">
        <f>SUM(P7:P9)</f>
        <v/>
      </c>
    </row>
    <row r="11"/>
    <row r="12">
      <c r="B12" s="16" t="inlineStr">
        <is>
          <t>Unlevered IRR</t>
        </is>
      </c>
      <c r="D12" s="26">
        <f>IRR(D10:P10)</f>
        <v/>
      </c>
    </row>
    <row r="13">
      <c r="B13" s="6" t="inlineStr">
        <is>
          <t>Unlevered Multiple on Invested Capital</t>
        </is>
      </c>
      <c r="C13" s="7" t="n"/>
      <c r="D13" s="86">
        <f>SUMIF(D10:P10,"&gt;0")/-SUMIF(D10:P10,"&lt;0")</f>
        <v/>
      </c>
      <c r="E13" s="7" t="n"/>
      <c r="F13" s="7" t="n"/>
      <c r="G13" s="7" t="n"/>
      <c r="H13" s="7" t="n"/>
      <c r="I13" s="7" t="n"/>
      <c r="J13" s="7" t="n"/>
      <c r="K13" s="7" t="n"/>
      <c r="L13" s="7" t="n"/>
      <c r="M13" s="7" t="n"/>
      <c r="N13" s="7" t="n"/>
      <c r="O13" s="7" t="n"/>
      <c r="P13" s="7" t="n"/>
      <c r="Q13" s="7" t="n"/>
    </row>
    <row r="14">
      <c r="B14" s="9" t="inlineStr">
        <is>
          <t>Total Unlevered Profit</t>
        </is>
      </c>
      <c r="D14" s="20">
        <f>SUM(D10:P10)</f>
        <v/>
      </c>
    </row>
    <row r="15">
      <c r="B15" s="18" t="inlineStr">
        <is>
          <t>Yield on Cost at Stabilisation</t>
        </is>
      </c>
      <c r="C15" s="7" t="n"/>
      <c r="D15" s="21">
        <f>StabilisedNOI/TotalProjectCost</f>
        <v/>
      </c>
      <c r="E15" s="7" t="n"/>
      <c r="F15" s="7" t="n"/>
      <c r="G15" s="7" t="n"/>
      <c r="H15" s="7" t="n"/>
      <c r="I15" s="7" t="n"/>
      <c r="J15" s="7" t="n"/>
      <c r="K15" s="7" t="n"/>
      <c r="L15" s="7" t="n"/>
      <c r="M15" s="7" t="n"/>
      <c r="N15" s="7" t="n"/>
      <c r="O15" s="7" t="n"/>
      <c r="P15" s="7" t="n"/>
      <c r="Q15" s="7" t="n"/>
    </row>
    <row r="16">
      <c r="B16" s="16" t="inlineStr">
        <is>
          <t>Development Spread over the Exit Cap Rate</t>
        </is>
      </c>
      <c r="D16" s="32">
        <f>(D15-ExitCapRate)*10000</f>
        <v/>
      </c>
    </row>
    <row r="17">
      <c r="B17" s="6" t="inlineStr">
        <is>
          <t>Stabilised Value at the Exit Cap Rate</t>
        </is>
      </c>
      <c r="C17" s="7" t="n"/>
      <c r="D17" s="15">
        <f>StabilisedNOI/ExitCapRate</f>
        <v/>
      </c>
      <c r="E17" s="7" t="n"/>
      <c r="F17" s="7" t="n"/>
      <c r="G17" s="7" t="n"/>
      <c r="H17" s="7" t="n"/>
      <c r="I17" s="7" t="n"/>
      <c r="J17" s="7" t="n"/>
      <c r="K17" s="7" t="n"/>
      <c r="L17" s="7" t="n"/>
      <c r="M17" s="7" t="n"/>
      <c r="N17" s="7" t="n"/>
      <c r="O17" s="7" t="n"/>
      <c r="P17" s="7" t="n"/>
      <c r="Q17" s="7" t="n"/>
    </row>
    <row r="18">
      <c r="B18" s="16" t="inlineStr">
        <is>
          <t>Value Creation over Total Project Cost</t>
        </is>
      </c>
      <c r="D18" s="23">
        <f>D17-TotalProjectCost</f>
        <v/>
      </c>
    </row>
    <row r="19">
      <c r="B19" s="18" t="inlineStr">
        <is>
          <t>Profit on Cost</t>
        </is>
      </c>
      <c r="C19" s="7" t="n"/>
      <c r="D19" s="21">
        <f>D18/TotalProjectCost</f>
        <v/>
      </c>
      <c r="E19" s="7" t="n"/>
      <c r="F19" s="7" t="n"/>
      <c r="G19" s="7" t="n"/>
      <c r="H19" s="7" t="n"/>
      <c r="I19" s="7" t="n"/>
      <c r="J19" s="7" t="n"/>
      <c r="K19" s="7" t="n"/>
      <c r="L19" s="7" t="n"/>
      <c r="M19" s="7" t="n"/>
      <c r="N19" s="7" t="n"/>
      <c r="O19" s="7" t="n"/>
      <c r="P19" s="7" t="n"/>
      <c r="Q19" s="7" t="n"/>
    </row>
    <row r="20"/>
    <row r="21">
      <c r="B21" s="4" t="inlineStr">
        <is>
          <t>LEVERED EQUITY CASH FLOW</t>
        </is>
      </c>
      <c r="C21" s="5" t="n"/>
      <c r="D21" s="5" t="n"/>
      <c r="E21" s="5" t="n"/>
      <c r="F21" s="5" t="n"/>
      <c r="G21" s="5" t="n"/>
      <c r="H21" s="5" t="n"/>
      <c r="I21" s="5" t="n"/>
      <c r="J21" s="5" t="n"/>
      <c r="K21" s="5" t="n"/>
      <c r="L21" s="5" t="n"/>
      <c r="M21" s="5" t="n"/>
      <c r="N21" s="5" t="n"/>
      <c r="O21" s="5" t="n"/>
      <c r="P21" s="5" t="n"/>
      <c r="Q21" s="5" t="n"/>
    </row>
    <row r="22">
      <c r="B22" s="9" t="inlineStr">
        <is>
          <t>Equity Contributions</t>
        </is>
      </c>
      <c r="D22" s="20">
        <f>-'Draw Schedule'!D54</f>
        <v/>
      </c>
      <c r="E22" s="20">
        <f>-'Draw Schedule'!E54</f>
        <v/>
      </c>
      <c r="F22" s="20">
        <f>-'Draw Schedule'!F54</f>
        <v/>
      </c>
      <c r="G22" s="20">
        <f>0</f>
        <v/>
      </c>
      <c r="H22" s="20">
        <f>0</f>
        <v/>
      </c>
      <c r="I22" s="20">
        <f>0</f>
        <v/>
      </c>
      <c r="J22" s="20">
        <f>0</f>
        <v/>
      </c>
      <c r="K22" s="20">
        <f>0</f>
        <v/>
      </c>
      <c r="L22" s="20">
        <f>0</f>
        <v/>
      </c>
      <c r="M22" s="20">
        <f>0</f>
        <v/>
      </c>
      <c r="N22" s="20">
        <f>0</f>
        <v/>
      </c>
      <c r="O22" s="20">
        <f>0</f>
        <v/>
      </c>
      <c r="P22" s="20">
        <f>0</f>
        <v/>
      </c>
    </row>
    <row r="23">
      <c r="B23" s="6" t="inlineStr">
        <is>
          <t>Net Operating Income</t>
        </is>
      </c>
      <c r="C23" s="7" t="n"/>
      <c r="D23" s="13">
        <f>'Operating Model'!D24</f>
        <v/>
      </c>
      <c r="E23" s="13">
        <f>'Operating Model'!E24</f>
        <v/>
      </c>
      <c r="F23" s="13">
        <f>'Operating Model'!F24</f>
        <v/>
      </c>
      <c r="G23" s="13">
        <f>'Operating Model'!G24</f>
        <v/>
      </c>
      <c r="H23" s="13">
        <f>'Operating Model'!H24</f>
        <v/>
      </c>
      <c r="I23" s="13">
        <f>'Operating Model'!I24</f>
        <v/>
      </c>
      <c r="J23" s="13">
        <f>'Operating Model'!J24</f>
        <v/>
      </c>
      <c r="K23" s="13">
        <f>'Operating Model'!K24</f>
        <v/>
      </c>
      <c r="L23" s="13">
        <f>'Operating Model'!L24</f>
        <v/>
      </c>
      <c r="M23" s="13">
        <f>'Operating Model'!M24</f>
        <v/>
      </c>
      <c r="N23" s="13">
        <f>'Operating Model'!N24</f>
        <v/>
      </c>
      <c r="O23" s="13">
        <f>'Operating Model'!O24</f>
        <v/>
      </c>
      <c r="P23" s="13">
        <f>'Operating Model'!P24</f>
        <v/>
      </c>
      <c r="Q23" s="7" t="n"/>
    </row>
    <row r="24">
      <c r="B24" s="9" t="inlineStr">
        <is>
          <t>Less: Total Cash Debt Service</t>
        </is>
      </c>
      <c r="D24" s="20">
        <f>-'Debt Schedule'!D46</f>
        <v/>
      </c>
      <c r="E24" s="20">
        <f>-'Debt Schedule'!E46</f>
        <v/>
      </c>
      <c r="F24" s="20">
        <f>-'Debt Schedule'!F46</f>
        <v/>
      </c>
      <c r="G24" s="20">
        <f>-'Debt Schedule'!G46</f>
        <v/>
      </c>
      <c r="H24" s="20">
        <f>-'Debt Schedule'!H46</f>
        <v/>
      </c>
      <c r="I24" s="20">
        <f>-'Debt Schedule'!I46</f>
        <v/>
      </c>
      <c r="J24" s="20">
        <f>-'Debt Schedule'!J46</f>
        <v/>
      </c>
      <c r="K24" s="20">
        <f>-'Debt Schedule'!K46</f>
        <v/>
      </c>
      <c r="L24" s="20">
        <f>-'Debt Schedule'!L46</f>
        <v/>
      </c>
      <c r="M24" s="20">
        <f>-'Debt Schedule'!M46</f>
        <v/>
      </c>
      <c r="N24" s="20">
        <f>-'Debt Schedule'!N46</f>
        <v/>
      </c>
      <c r="O24" s="20">
        <f>-'Debt Schedule'!O46</f>
        <v/>
      </c>
      <c r="P24" s="20">
        <f>-'Debt Schedule'!P46</f>
        <v/>
      </c>
    </row>
    <row r="25">
      <c r="B25" s="6" t="inlineStr">
        <is>
          <t>Net Refinancing Proceeds</t>
        </is>
      </c>
      <c r="C25" s="7" t="n"/>
      <c r="D25" s="15">
        <f>0</f>
        <v/>
      </c>
      <c r="E25" s="15">
        <f>0</f>
        <v/>
      </c>
      <c r="F25" s="13">
        <f>'Debt Schedule'!D26</f>
        <v/>
      </c>
      <c r="G25" s="15">
        <f>0</f>
        <v/>
      </c>
      <c r="H25" s="15">
        <f>0</f>
        <v/>
      </c>
      <c r="I25" s="15">
        <f>0</f>
        <v/>
      </c>
      <c r="J25" s="15">
        <f>0</f>
        <v/>
      </c>
      <c r="K25" s="15">
        <f>0</f>
        <v/>
      </c>
      <c r="L25" s="15">
        <f>0</f>
        <v/>
      </c>
      <c r="M25" s="15">
        <f>0</f>
        <v/>
      </c>
      <c r="N25" s="15">
        <f>0</f>
        <v/>
      </c>
      <c r="O25" s="15">
        <f>0</f>
        <v/>
      </c>
      <c r="P25" s="15">
        <f>0</f>
        <v/>
      </c>
      <c r="Q25" s="7" t="n"/>
    </row>
    <row r="26">
      <c r="B26" s="9" t="inlineStr">
        <is>
          <t>Net Sale Proceeds</t>
        </is>
      </c>
      <c r="D26" s="20">
        <f>0</f>
        <v/>
      </c>
      <c r="E26" s="20">
        <f>0</f>
        <v/>
      </c>
      <c r="F26" s="20">
        <f>0</f>
        <v/>
      </c>
      <c r="G26" s="20">
        <f>0</f>
        <v/>
      </c>
      <c r="H26" s="20">
        <f>0</f>
        <v/>
      </c>
      <c r="I26" s="20">
        <f>0</f>
        <v/>
      </c>
      <c r="J26" s="20">
        <f>0</f>
        <v/>
      </c>
      <c r="K26" s="20">
        <f>0</f>
        <v/>
      </c>
      <c r="L26" s="20">
        <f>0</f>
        <v/>
      </c>
      <c r="M26" s="20">
        <f>0</f>
        <v/>
      </c>
      <c r="N26" s="20">
        <f>0</f>
        <v/>
      </c>
      <c r="O26" s="20">
        <f>0</f>
        <v/>
      </c>
      <c r="P26" s="20">
        <f>'Operating Model'!Q24/ExitCapRate*(1-SellCostPct)</f>
        <v/>
      </c>
    </row>
    <row r="27">
      <c r="B27" s="6" t="inlineStr">
        <is>
          <t>Less: Debt Payoff at Exit</t>
        </is>
      </c>
      <c r="C27" s="7" t="n"/>
      <c r="D27" s="15">
        <f>0</f>
        <v/>
      </c>
      <c r="E27" s="15">
        <f>0</f>
        <v/>
      </c>
      <c r="F27" s="15">
        <f>0</f>
        <v/>
      </c>
      <c r="G27" s="15">
        <f>0</f>
        <v/>
      </c>
      <c r="H27" s="15">
        <f>0</f>
        <v/>
      </c>
      <c r="I27" s="15">
        <f>0</f>
        <v/>
      </c>
      <c r="J27" s="15">
        <f>0</f>
        <v/>
      </c>
      <c r="K27" s="15">
        <f>0</f>
        <v/>
      </c>
      <c r="L27" s="15">
        <f>0</f>
        <v/>
      </c>
      <c r="M27" s="15">
        <f>0</f>
        <v/>
      </c>
      <c r="N27" s="15">
        <f>0</f>
        <v/>
      </c>
      <c r="O27" s="15">
        <f>0</f>
        <v/>
      </c>
      <c r="P27" s="15">
        <f>-('Debt Schedule'!P34+'Debt Schedule'!P42)</f>
        <v/>
      </c>
      <c r="Q27" s="7" t="n"/>
    </row>
    <row r="28">
      <c r="B28" s="81" t="inlineStr">
        <is>
          <t>Levered Equity Cash Flow</t>
        </is>
      </c>
      <c r="C28" s="2" t="n"/>
      <c r="D28" s="65">
        <f>SUM(D22:D27)</f>
        <v/>
      </c>
      <c r="E28" s="65">
        <f>SUM(E22:E27)</f>
        <v/>
      </c>
      <c r="F28" s="65">
        <f>SUM(F22:F27)</f>
        <v/>
      </c>
      <c r="G28" s="65">
        <f>SUM(G22:G27)</f>
        <v/>
      </c>
      <c r="H28" s="65">
        <f>SUM(H22:H27)</f>
        <v/>
      </c>
      <c r="I28" s="65">
        <f>SUM(I22:I27)</f>
        <v/>
      </c>
      <c r="J28" s="65">
        <f>SUM(J22:J27)</f>
        <v/>
      </c>
      <c r="K28" s="65">
        <f>SUM(K22:K27)</f>
        <v/>
      </c>
      <c r="L28" s="65">
        <f>SUM(L22:L27)</f>
        <v/>
      </c>
      <c r="M28" s="65">
        <f>SUM(M22:M27)</f>
        <v/>
      </c>
      <c r="N28" s="65">
        <f>SUM(N22:N27)</f>
        <v/>
      </c>
      <c r="O28" s="65">
        <f>SUM(O22:O27)</f>
        <v/>
      </c>
      <c r="P28" s="65">
        <f>SUM(P22:P27)</f>
        <v/>
      </c>
    </row>
    <row r="29"/>
    <row r="30">
      <c r="B30" s="16" t="inlineStr">
        <is>
          <t>Levered Equity IRR</t>
        </is>
      </c>
      <c r="D30" s="26">
        <f>IRR(D28:P28)</f>
        <v/>
      </c>
    </row>
    <row r="31">
      <c r="B31" s="18" t="inlineStr">
        <is>
          <t>Equity Multiple</t>
        </is>
      </c>
      <c r="C31" s="7" t="n"/>
      <c r="D31" s="34">
        <f>SUMIF(D28:P28,"&gt;0")/-SUMIF(D28:P28,"&lt;0")</f>
        <v/>
      </c>
      <c r="E31" s="7" t="n"/>
      <c r="F31" s="7" t="n"/>
      <c r="G31" s="7" t="n"/>
      <c r="H31" s="7" t="n"/>
      <c r="I31" s="7" t="n"/>
      <c r="J31" s="7" t="n"/>
      <c r="K31" s="7" t="n"/>
      <c r="L31" s="7" t="n"/>
      <c r="M31" s="7" t="n"/>
      <c r="N31" s="7" t="n"/>
      <c r="O31" s="7" t="n"/>
      <c r="P31" s="7" t="n"/>
      <c r="Q31" s="7" t="n"/>
    </row>
    <row r="32">
      <c r="B32" s="9" t="inlineStr">
        <is>
          <t>Peak Equity Invested</t>
        </is>
      </c>
      <c r="D32" s="20">
        <f>-SUMIF(D28:P28,"&lt;0")</f>
        <v/>
      </c>
    </row>
    <row r="33">
      <c r="B33" s="6" t="inlineStr">
        <is>
          <t>Total Distributions to Equity</t>
        </is>
      </c>
      <c r="C33" s="7" t="n"/>
      <c r="D33" s="15">
        <f>SUMIF(D28:P28,"&gt;0")</f>
        <v/>
      </c>
      <c r="E33" s="7" t="n"/>
      <c r="F33" s="7" t="n"/>
      <c r="G33" s="7" t="n"/>
      <c r="H33" s="7" t="n"/>
      <c r="I33" s="7" t="n"/>
      <c r="J33" s="7" t="n"/>
      <c r="K33" s="7" t="n"/>
      <c r="L33" s="7" t="n"/>
      <c r="M33" s="7" t="n"/>
      <c r="N33" s="7" t="n"/>
      <c r="O33" s="7" t="n"/>
      <c r="P33" s="7" t="n"/>
      <c r="Q33" s="7" t="n"/>
    </row>
    <row r="34">
      <c r="B34" s="16" t="inlineStr">
        <is>
          <t>Total Levered Profit</t>
        </is>
      </c>
      <c r="D34" s="23">
        <f>SUM(D28:P28)</f>
        <v/>
      </c>
    </row>
    <row r="35"/>
    <row r="36">
      <c r="B36" s="4" t="inlineStr">
        <is>
          <t>DISTRIBUTION WATERFALL, HURDLE BALANCE METHOD</t>
        </is>
      </c>
      <c r="C36" s="5" t="n"/>
      <c r="D36" s="5" t="n"/>
      <c r="E36" s="5" t="n"/>
      <c r="F36" s="5" t="n"/>
      <c r="G36" s="5" t="n"/>
      <c r="H36" s="5" t="n"/>
      <c r="I36" s="5" t="n"/>
      <c r="J36" s="5" t="n"/>
      <c r="K36" s="5" t="n"/>
      <c r="L36" s="5" t="n"/>
      <c r="M36" s="5" t="n"/>
      <c r="N36" s="5" t="n"/>
      <c r="O36" s="5" t="n"/>
      <c r="P36" s="5" t="n"/>
      <c r="Q36" s="5" t="n"/>
    </row>
    <row r="37">
      <c r="B37" s="9" t="inlineStr">
        <is>
          <t>Total Equity Cash Flow</t>
        </is>
      </c>
      <c r="D37" s="20">
        <f>D28</f>
        <v/>
      </c>
      <c r="E37" s="20">
        <f>E28</f>
        <v/>
      </c>
      <c r="F37" s="20">
        <f>F28</f>
        <v/>
      </c>
      <c r="G37" s="20">
        <f>G28</f>
        <v/>
      </c>
      <c r="H37" s="20">
        <f>H28</f>
        <v/>
      </c>
      <c r="I37" s="20">
        <f>I28</f>
        <v/>
      </c>
      <c r="J37" s="20">
        <f>J28</f>
        <v/>
      </c>
      <c r="K37" s="20">
        <f>K28</f>
        <v/>
      </c>
      <c r="L37" s="20">
        <f>L28</f>
        <v/>
      </c>
      <c r="M37" s="20">
        <f>M28</f>
        <v/>
      </c>
      <c r="N37" s="20">
        <f>N28</f>
        <v/>
      </c>
      <c r="O37" s="20">
        <f>O28</f>
        <v/>
      </c>
      <c r="P37" s="20">
        <f>P28</f>
        <v/>
      </c>
    </row>
    <row r="38">
      <c r="B38" s="6" t="inlineStr">
        <is>
          <t>Capital Contributions</t>
        </is>
      </c>
      <c r="C38" s="7" t="n"/>
      <c r="D38" s="15">
        <f>-MIN(0,D37)</f>
        <v/>
      </c>
      <c r="E38" s="15">
        <f>-MIN(0,E37)</f>
        <v/>
      </c>
      <c r="F38" s="15">
        <f>-MIN(0,F37)</f>
        <v/>
      </c>
      <c r="G38" s="15">
        <f>-MIN(0,G37)</f>
        <v/>
      </c>
      <c r="H38" s="15">
        <f>-MIN(0,H37)</f>
        <v/>
      </c>
      <c r="I38" s="15">
        <f>-MIN(0,I37)</f>
        <v/>
      </c>
      <c r="J38" s="15">
        <f>-MIN(0,J37)</f>
        <v/>
      </c>
      <c r="K38" s="15">
        <f>-MIN(0,K37)</f>
        <v/>
      </c>
      <c r="L38" s="15">
        <f>-MIN(0,L37)</f>
        <v/>
      </c>
      <c r="M38" s="15">
        <f>-MIN(0,M37)</f>
        <v/>
      </c>
      <c r="N38" s="15">
        <f>-MIN(0,N37)</f>
        <v/>
      </c>
      <c r="O38" s="15">
        <f>-MIN(0,O37)</f>
        <v/>
      </c>
      <c r="P38" s="15">
        <f>-MIN(0,P37)</f>
        <v/>
      </c>
    </row>
    <row r="39">
      <c r="B39" s="9" t="inlineStr">
        <is>
          <t>Cash Available to Distribute</t>
        </is>
      </c>
      <c r="D39" s="20">
        <f>MAX(0,D37)</f>
        <v/>
      </c>
      <c r="E39" s="20">
        <f>MAX(0,E37)</f>
        <v/>
      </c>
      <c r="F39" s="20">
        <f>MAX(0,F37)</f>
        <v/>
      </c>
      <c r="G39" s="20">
        <f>MAX(0,G37)</f>
        <v/>
      </c>
      <c r="H39" s="20">
        <f>MAX(0,H37)</f>
        <v/>
      </c>
      <c r="I39" s="20">
        <f>MAX(0,I37)</f>
        <v/>
      </c>
      <c r="J39" s="20">
        <f>MAX(0,J37)</f>
        <v/>
      </c>
      <c r="K39" s="20">
        <f>MAX(0,K37)</f>
        <v/>
      </c>
      <c r="L39" s="20">
        <f>MAX(0,L37)</f>
        <v/>
      </c>
      <c r="M39" s="20">
        <f>MAX(0,M37)</f>
        <v/>
      </c>
      <c r="N39" s="20">
        <f>MAX(0,N37)</f>
        <v/>
      </c>
      <c r="O39" s="20">
        <f>MAX(0,O37)</f>
        <v/>
      </c>
      <c r="P39" s="20">
        <f>MAX(0,P37)</f>
        <v/>
      </c>
    </row>
    <row r="40"/>
    <row r="41">
      <c r="B41" s="16" t="inlineStr">
        <is>
          <t>Tier 1: Return of Capital and the Preferred Return</t>
        </is>
      </c>
    </row>
    <row r="42">
      <c r="B42" s="9" t="inlineStr">
        <is>
          <t>Hurdle Balance, Beginning of Year</t>
        </is>
      </c>
      <c r="D42" s="20">
        <f>0</f>
        <v/>
      </c>
      <c r="E42" s="20">
        <f>D46</f>
        <v/>
      </c>
      <c r="F42" s="20">
        <f>E46</f>
        <v/>
      </c>
      <c r="G42" s="20">
        <f>F46</f>
        <v/>
      </c>
      <c r="H42" s="20">
        <f>G46</f>
        <v/>
      </c>
      <c r="I42" s="20">
        <f>H46</f>
        <v/>
      </c>
      <c r="J42" s="20">
        <f>I46</f>
        <v/>
      </c>
      <c r="K42" s="20">
        <f>J46</f>
        <v/>
      </c>
      <c r="L42" s="20">
        <f>K46</f>
        <v/>
      </c>
      <c r="M42" s="20">
        <f>L46</f>
        <v/>
      </c>
      <c r="N42" s="20">
        <f>M46</f>
        <v/>
      </c>
      <c r="O42" s="20">
        <f>N46</f>
        <v/>
      </c>
      <c r="P42" s="20">
        <f>O46</f>
        <v/>
      </c>
    </row>
    <row r="43">
      <c r="B43" s="6" t="inlineStr">
        <is>
          <t>Accrual at the Preferred Return</t>
        </is>
      </c>
      <c r="C43" s="7" t="n"/>
      <c r="D43" s="15">
        <f>D42*PrefReturn</f>
        <v/>
      </c>
      <c r="E43" s="15">
        <f>E42*PrefReturn</f>
        <v/>
      </c>
      <c r="F43" s="15">
        <f>F42*PrefReturn</f>
        <v/>
      </c>
      <c r="G43" s="15">
        <f>G42*PrefReturn</f>
        <v/>
      </c>
      <c r="H43" s="15">
        <f>H42*PrefReturn</f>
        <v/>
      </c>
      <c r="I43" s="15">
        <f>I42*PrefReturn</f>
        <v/>
      </c>
      <c r="J43" s="15">
        <f>J42*PrefReturn</f>
        <v/>
      </c>
      <c r="K43" s="15">
        <f>K42*PrefReturn</f>
        <v/>
      </c>
      <c r="L43" s="15">
        <f>L42*PrefReturn</f>
        <v/>
      </c>
      <c r="M43" s="15">
        <f>M42*PrefReturn</f>
        <v/>
      </c>
      <c r="N43" s="15">
        <f>N42*PrefReturn</f>
        <v/>
      </c>
      <c r="O43" s="15">
        <f>O42*PrefReturn</f>
        <v/>
      </c>
      <c r="P43" s="15">
        <f>P42*PrefReturn</f>
        <v/>
      </c>
    </row>
    <row r="44">
      <c r="B44" s="9" t="inlineStr">
        <is>
          <t>Hurdle Balance before Distributions</t>
        </is>
      </c>
      <c r="D44" s="20">
        <f>MAX(0,D42+D43+D38)</f>
        <v/>
      </c>
      <c r="E44" s="20">
        <f>MAX(0,E42+E43+E38)</f>
        <v/>
      </c>
      <c r="F44" s="20">
        <f>MAX(0,F42+F43+F38)</f>
        <v/>
      </c>
      <c r="G44" s="20">
        <f>MAX(0,G42+G43+G38)</f>
        <v/>
      </c>
      <c r="H44" s="20">
        <f>MAX(0,H42+H43+H38)</f>
        <v/>
      </c>
      <c r="I44" s="20">
        <f>MAX(0,I42+I43+I38)</f>
        <v/>
      </c>
      <c r="J44" s="20">
        <f>MAX(0,J42+J43+J38)</f>
        <v/>
      </c>
      <c r="K44" s="20">
        <f>MAX(0,K42+K43+K38)</f>
        <v/>
      </c>
      <c r="L44" s="20">
        <f>MAX(0,L42+L43+L38)</f>
        <v/>
      </c>
      <c r="M44" s="20">
        <f>MAX(0,M42+M43+M38)</f>
        <v/>
      </c>
      <c r="N44" s="20">
        <f>MAX(0,N42+N43+N38)</f>
        <v/>
      </c>
      <c r="O44" s="20">
        <f>MAX(0,O42+O43+O38)</f>
        <v/>
      </c>
      <c r="P44" s="20">
        <f>MAX(0,P42+P43+P38)</f>
        <v/>
      </c>
    </row>
    <row r="45">
      <c r="B45" s="6" t="inlineStr">
        <is>
          <t>Tier 1 Distribution</t>
        </is>
      </c>
      <c r="C45" s="7" t="n"/>
      <c r="D45" s="15">
        <f>MIN(D39,D44)</f>
        <v/>
      </c>
      <c r="E45" s="15">
        <f>MIN(E39,E44)</f>
        <v/>
      </c>
      <c r="F45" s="15">
        <f>MIN(F39,F44)</f>
        <v/>
      </c>
      <c r="G45" s="15">
        <f>MIN(G39,G44)</f>
        <v/>
      </c>
      <c r="H45" s="15">
        <f>MIN(H39,H44)</f>
        <v/>
      </c>
      <c r="I45" s="15">
        <f>MIN(I39,I44)</f>
        <v/>
      </c>
      <c r="J45" s="15">
        <f>MIN(J39,J44)</f>
        <v/>
      </c>
      <c r="K45" s="15">
        <f>MIN(K39,K44)</f>
        <v/>
      </c>
      <c r="L45" s="15">
        <f>MIN(L39,L44)</f>
        <v/>
      </c>
      <c r="M45" s="15">
        <f>MIN(M39,M44)</f>
        <v/>
      </c>
      <c r="N45" s="15">
        <f>MIN(N39,N44)</f>
        <v/>
      </c>
      <c r="O45" s="15">
        <f>MIN(O39,O44)</f>
        <v/>
      </c>
      <c r="P45" s="15">
        <f>MIN(P39,P44)</f>
        <v/>
      </c>
    </row>
    <row r="46">
      <c r="B46" s="9" t="inlineStr">
        <is>
          <t>Hurdle Balance, End of Year</t>
        </is>
      </c>
      <c r="D46" s="20">
        <f>D44-D45</f>
        <v/>
      </c>
      <c r="E46" s="20">
        <f>E44-E45</f>
        <v/>
      </c>
      <c r="F46" s="20">
        <f>F44-F45</f>
        <v/>
      </c>
      <c r="G46" s="20">
        <f>G44-G45</f>
        <v/>
      </c>
      <c r="H46" s="20">
        <f>H44-H45</f>
        <v/>
      </c>
      <c r="I46" s="20">
        <f>I44-I45</f>
        <v/>
      </c>
      <c r="J46" s="20">
        <f>J44-J45</f>
        <v/>
      </c>
      <c r="K46" s="20">
        <f>K44-K45</f>
        <v/>
      </c>
      <c r="L46" s="20">
        <f>L44-L45</f>
        <v/>
      </c>
      <c r="M46" s="20">
        <f>M44-M45</f>
        <v/>
      </c>
      <c r="N46" s="20">
        <f>N44-N45</f>
        <v/>
      </c>
      <c r="O46" s="20">
        <f>O44-O45</f>
        <v/>
      </c>
      <c r="P46" s="20">
        <f>P44-P45</f>
        <v/>
      </c>
    </row>
    <row r="47"/>
    <row r="48">
      <c r="B48" s="16" t="inlineStr">
        <is>
          <t>Tier 2: Pro Rata to the Second Hurdle</t>
        </is>
      </c>
    </row>
    <row r="49">
      <c r="B49" s="9" t="inlineStr">
        <is>
          <t>Hurdle Balance, Beginning of Year</t>
        </is>
      </c>
      <c r="D49" s="20">
        <f>0</f>
        <v/>
      </c>
      <c r="E49" s="20">
        <f>D54</f>
        <v/>
      </c>
      <c r="F49" s="20">
        <f>E54</f>
        <v/>
      </c>
      <c r="G49" s="20">
        <f>F54</f>
        <v/>
      </c>
      <c r="H49" s="20">
        <f>G54</f>
        <v/>
      </c>
      <c r="I49" s="20">
        <f>H54</f>
        <v/>
      </c>
      <c r="J49" s="20">
        <f>I54</f>
        <v/>
      </c>
      <c r="K49" s="20">
        <f>J54</f>
        <v/>
      </c>
      <c r="L49" s="20">
        <f>K54</f>
        <v/>
      </c>
      <c r="M49" s="20">
        <f>L54</f>
        <v/>
      </c>
      <c r="N49" s="20">
        <f>M54</f>
        <v/>
      </c>
      <c r="O49" s="20">
        <f>N54</f>
        <v/>
      </c>
      <c r="P49" s="20">
        <f>O54</f>
        <v/>
      </c>
    </row>
    <row r="50">
      <c r="B50" s="6" t="inlineStr">
        <is>
          <t>Accrual at the Second Hurdle</t>
        </is>
      </c>
      <c r="C50" s="7" t="n"/>
      <c r="D50" s="15">
        <f>D49*Hurdle2</f>
        <v/>
      </c>
      <c r="E50" s="15">
        <f>E49*Hurdle2</f>
        <v/>
      </c>
      <c r="F50" s="15">
        <f>F49*Hurdle2</f>
        <v/>
      </c>
      <c r="G50" s="15">
        <f>G49*Hurdle2</f>
        <v/>
      </c>
      <c r="H50" s="15">
        <f>H49*Hurdle2</f>
        <v/>
      </c>
      <c r="I50" s="15">
        <f>I49*Hurdle2</f>
        <v/>
      </c>
      <c r="J50" s="15">
        <f>J49*Hurdle2</f>
        <v/>
      </c>
      <c r="K50" s="15">
        <f>K49*Hurdle2</f>
        <v/>
      </c>
      <c r="L50" s="15">
        <f>L49*Hurdle2</f>
        <v/>
      </c>
      <c r="M50" s="15">
        <f>M49*Hurdle2</f>
        <v/>
      </c>
      <c r="N50" s="15">
        <f>N49*Hurdle2</f>
        <v/>
      </c>
      <c r="O50" s="15">
        <f>O49*Hurdle2</f>
        <v/>
      </c>
      <c r="P50" s="15">
        <f>P49*Hurdle2</f>
        <v/>
      </c>
    </row>
    <row r="51">
      <c r="B51" s="9" t="inlineStr">
        <is>
          <t>Hurdle Balance before Distributions</t>
        </is>
      </c>
      <c r="D51" s="20">
        <f>MAX(0,D49+D50+D38-D45)</f>
        <v/>
      </c>
      <c r="E51" s="20">
        <f>MAX(0,E49+E50+E38-E45)</f>
        <v/>
      </c>
      <c r="F51" s="20">
        <f>MAX(0,F49+F50+F38-F45)</f>
        <v/>
      </c>
      <c r="G51" s="20">
        <f>MAX(0,G49+G50+G38-G45)</f>
        <v/>
      </c>
      <c r="H51" s="20">
        <f>MAX(0,H49+H50+H38-H45)</f>
        <v/>
      </c>
      <c r="I51" s="20">
        <f>MAX(0,I49+I50+I38-I45)</f>
        <v/>
      </c>
      <c r="J51" s="20">
        <f>MAX(0,J49+J50+J38-J45)</f>
        <v/>
      </c>
      <c r="K51" s="20">
        <f>MAX(0,K49+K50+K38-K45)</f>
        <v/>
      </c>
      <c r="L51" s="20">
        <f>MAX(0,L49+L50+L38-L45)</f>
        <v/>
      </c>
      <c r="M51" s="20">
        <f>MAX(0,M49+M50+M38-M45)</f>
        <v/>
      </c>
      <c r="N51" s="20">
        <f>MAX(0,N49+N50+N38-N45)</f>
        <v/>
      </c>
      <c r="O51" s="20">
        <f>MAX(0,O49+O50+O38-O45)</f>
        <v/>
      </c>
      <c r="P51" s="20">
        <f>MAX(0,P49+P50+P38-P45)</f>
        <v/>
      </c>
    </row>
    <row r="52">
      <c r="B52" s="6" t="inlineStr">
        <is>
          <t>Cash Remaining after Tier 1</t>
        </is>
      </c>
      <c r="C52" s="7" t="n"/>
      <c r="D52" s="15">
        <f>D39-D45</f>
        <v/>
      </c>
      <c r="E52" s="15">
        <f>E39-E45</f>
        <v/>
      </c>
      <c r="F52" s="15">
        <f>F39-F45</f>
        <v/>
      </c>
      <c r="G52" s="15">
        <f>G39-G45</f>
        <v/>
      </c>
      <c r="H52" s="15">
        <f>H39-H45</f>
        <v/>
      </c>
      <c r="I52" s="15">
        <f>I39-I45</f>
        <v/>
      </c>
      <c r="J52" s="15">
        <f>J39-J45</f>
        <v/>
      </c>
      <c r="K52" s="15">
        <f>K39-K45</f>
        <v/>
      </c>
      <c r="L52" s="15">
        <f>L39-L45</f>
        <v/>
      </c>
      <c r="M52" s="15">
        <f>M39-M45</f>
        <v/>
      </c>
      <c r="N52" s="15">
        <f>N39-N45</f>
        <v/>
      </c>
      <c r="O52" s="15">
        <f>O39-O45</f>
        <v/>
      </c>
      <c r="P52" s="15">
        <f>P39-P45</f>
        <v/>
      </c>
    </row>
    <row r="53">
      <c r="B53" s="9" t="inlineStr">
        <is>
          <t>Tier 2 Distribution</t>
        </is>
      </c>
      <c r="D53" s="20">
        <f>MIN(D52,D51/(1-Promote2))</f>
        <v/>
      </c>
      <c r="E53" s="20">
        <f>MIN(E52,E51/(1-Promote2))</f>
        <v/>
      </c>
      <c r="F53" s="20">
        <f>MIN(F52,F51/(1-Promote2))</f>
        <v/>
      </c>
      <c r="G53" s="20">
        <f>MIN(G52,G51/(1-Promote2))</f>
        <v/>
      </c>
      <c r="H53" s="20">
        <f>MIN(H52,H51/(1-Promote2))</f>
        <v/>
      </c>
      <c r="I53" s="20">
        <f>MIN(I52,I51/(1-Promote2))</f>
        <v/>
      </c>
      <c r="J53" s="20">
        <f>MIN(J52,J51/(1-Promote2))</f>
        <v/>
      </c>
      <c r="K53" s="20">
        <f>MIN(K52,K51/(1-Promote2))</f>
        <v/>
      </c>
      <c r="L53" s="20">
        <f>MIN(L52,L51/(1-Promote2))</f>
        <v/>
      </c>
      <c r="M53" s="20">
        <f>MIN(M52,M51/(1-Promote2))</f>
        <v/>
      </c>
      <c r="N53" s="20">
        <f>MIN(N52,N51/(1-Promote2))</f>
        <v/>
      </c>
      <c r="O53" s="20">
        <f>MIN(O52,O51/(1-Promote2))</f>
        <v/>
      </c>
      <c r="P53" s="20">
        <f>MIN(P52,P51/(1-Promote2))</f>
        <v/>
      </c>
    </row>
    <row r="54">
      <c r="B54" s="6" t="inlineStr">
        <is>
          <t>Hurdle Balance, End of Year</t>
        </is>
      </c>
      <c r="C54" s="7" t="n"/>
      <c r="D54" s="15">
        <f>D51-D53*(1-Promote2)</f>
        <v/>
      </c>
      <c r="E54" s="15">
        <f>E51-E53*(1-Promote2)</f>
        <v/>
      </c>
      <c r="F54" s="15">
        <f>F51-F53*(1-Promote2)</f>
        <v/>
      </c>
      <c r="G54" s="15">
        <f>G51-G53*(1-Promote2)</f>
        <v/>
      </c>
      <c r="H54" s="15">
        <f>H51-H53*(1-Promote2)</f>
        <v/>
      </c>
      <c r="I54" s="15">
        <f>I51-I53*(1-Promote2)</f>
        <v/>
      </c>
      <c r="J54" s="15">
        <f>J51-J53*(1-Promote2)</f>
        <v/>
      </c>
      <c r="K54" s="15">
        <f>K51-K53*(1-Promote2)</f>
        <v/>
      </c>
      <c r="L54" s="15">
        <f>L51-L53*(1-Promote2)</f>
        <v/>
      </c>
      <c r="M54" s="15">
        <f>M51-M53*(1-Promote2)</f>
        <v/>
      </c>
      <c r="N54" s="15">
        <f>N51-N53*(1-Promote2)</f>
        <v/>
      </c>
      <c r="O54" s="15">
        <f>O51-O53*(1-Promote2)</f>
        <v/>
      </c>
      <c r="P54" s="15">
        <f>P51-P53*(1-Promote2)</f>
        <v/>
      </c>
    </row>
    <row r="55"/>
    <row r="56">
      <c r="B56" s="16" t="inlineStr">
        <is>
          <t>Tier 3: Residual Split</t>
        </is>
      </c>
    </row>
    <row r="57">
      <c r="B57" s="9" t="inlineStr">
        <is>
          <t>Tier 3 Distribution</t>
        </is>
      </c>
      <c r="D57" s="20">
        <f>D52-D53</f>
        <v/>
      </c>
      <c r="E57" s="20">
        <f>E52-E53</f>
        <v/>
      </c>
      <c r="F57" s="20">
        <f>F52-F53</f>
        <v/>
      </c>
      <c r="G57" s="20">
        <f>G52-G53</f>
        <v/>
      </c>
      <c r="H57" s="20">
        <f>H52-H53</f>
        <v/>
      </c>
      <c r="I57" s="20">
        <f>I52-I53</f>
        <v/>
      </c>
      <c r="J57" s="20">
        <f>J52-J53</f>
        <v/>
      </c>
      <c r="K57" s="20">
        <f>K52-K53</f>
        <v/>
      </c>
      <c r="L57" s="20">
        <f>L52-L53</f>
        <v/>
      </c>
      <c r="M57" s="20">
        <f>M52-M53</f>
        <v/>
      </c>
      <c r="N57" s="20">
        <f>N52-N53</f>
        <v/>
      </c>
      <c r="O57" s="20">
        <f>O52-O53</f>
        <v/>
      </c>
      <c r="P57" s="20">
        <f>P52-P53</f>
        <v/>
      </c>
    </row>
    <row r="58"/>
    <row r="59">
      <c r="B59" s="4" t="inlineStr">
        <is>
          <t>ALLOCATION</t>
        </is>
      </c>
      <c r="C59" s="5" t="n"/>
      <c r="D59" s="5" t="n"/>
      <c r="E59" s="5" t="n"/>
      <c r="F59" s="5" t="n"/>
      <c r="G59" s="5" t="n"/>
      <c r="H59" s="5" t="n"/>
      <c r="I59" s="5" t="n"/>
      <c r="J59" s="5" t="n"/>
      <c r="K59" s="5" t="n"/>
      <c r="L59" s="5" t="n"/>
      <c r="M59" s="5" t="n"/>
      <c r="N59" s="5" t="n"/>
      <c r="O59" s="5" t="n"/>
      <c r="P59" s="5" t="n"/>
      <c r="Q59" s="5" t="n"/>
    </row>
    <row r="60">
      <c r="B60" s="16" t="inlineStr">
        <is>
          <t>Pro Rata to All Equity</t>
        </is>
      </c>
      <c r="D60" s="23">
        <f>D45+D53*(1-Promote2)+D57*(1-Promote3)</f>
        <v/>
      </c>
      <c r="E60" s="23">
        <f>E45+E53*(1-Promote2)+E57*(1-Promote3)</f>
        <v/>
      </c>
      <c r="F60" s="23">
        <f>F45+F53*(1-Promote2)+F57*(1-Promote3)</f>
        <v/>
      </c>
      <c r="G60" s="23">
        <f>G45+G53*(1-Promote2)+G57*(1-Promote3)</f>
        <v/>
      </c>
      <c r="H60" s="23">
        <f>H45+H53*(1-Promote2)+H57*(1-Promote3)</f>
        <v/>
      </c>
      <c r="I60" s="23">
        <f>I45+I53*(1-Promote2)+I57*(1-Promote3)</f>
        <v/>
      </c>
      <c r="J60" s="23">
        <f>J45+J53*(1-Promote2)+J57*(1-Promote3)</f>
        <v/>
      </c>
      <c r="K60" s="23">
        <f>K45+K53*(1-Promote2)+K57*(1-Promote3)</f>
        <v/>
      </c>
      <c r="L60" s="23">
        <f>L45+L53*(1-Promote2)+L57*(1-Promote3)</f>
        <v/>
      </c>
      <c r="M60" s="23">
        <f>M45+M53*(1-Promote2)+M57*(1-Promote3)</f>
        <v/>
      </c>
      <c r="N60" s="23">
        <f>N45+N53*(1-Promote2)+N57*(1-Promote3)</f>
        <v/>
      </c>
      <c r="O60" s="23">
        <f>O45+O53*(1-Promote2)+O57*(1-Promote3)</f>
        <v/>
      </c>
      <c r="P60" s="23">
        <f>P45+P53*(1-Promote2)+P57*(1-Promote3)</f>
        <v/>
      </c>
    </row>
    <row r="61">
      <c r="B61" s="18" t="inlineStr">
        <is>
          <t>GP Promote</t>
        </is>
      </c>
      <c r="C61" s="7" t="n"/>
      <c r="D61" s="19">
        <f>D53*Promote2+D57*Promote3</f>
        <v/>
      </c>
      <c r="E61" s="19">
        <f>E53*Promote2+E57*Promote3</f>
        <v/>
      </c>
      <c r="F61" s="19">
        <f>F53*Promote2+F57*Promote3</f>
        <v/>
      </c>
      <c r="G61" s="19">
        <f>G53*Promote2+G57*Promote3</f>
        <v/>
      </c>
      <c r="H61" s="19">
        <f>H53*Promote2+H57*Promote3</f>
        <v/>
      </c>
      <c r="I61" s="19">
        <f>I53*Promote2+I57*Promote3</f>
        <v/>
      </c>
      <c r="J61" s="19">
        <f>J53*Promote2+J57*Promote3</f>
        <v/>
      </c>
      <c r="K61" s="19">
        <f>K53*Promote2+K57*Promote3</f>
        <v/>
      </c>
      <c r="L61" s="19">
        <f>L53*Promote2+L57*Promote3</f>
        <v/>
      </c>
      <c r="M61" s="19">
        <f>M53*Promote2+M57*Promote3</f>
        <v/>
      </c>
      <c r="N61" s="19">
        <f>N53*Promote2+N57*Promote3</f>
        <v/>
      </c>
      <c r="O61" s="19">
        <f>O53*Promote2+O57*Promote3</f>
        <v/>
      </c>
      <c r="P61" s="19">
        <f>P53*Promote2+P57*Promote3</f>
        <v/>
      </c>
    </row>
    <row r="62">
      <c r="B62" s="9" t="inlineStr">
        <is>
          <t>Check: Allocated less Cash Available</t>
        </is>
      </c>
      <c r="D62" s="20">
        <f>D60+D61-D39</f>
        <v/>
      </c>
      <c r="E62" s="20">
        <f>E60+E61-E39</f>
        <v/>
      </c>
      <c r="F62" s="20">
        <f>F60+F61-F39</f>
        <v/>
      </c>
      <c r="G62" s="20">
        <f>G60+G61-G39</f>
        <v/>
      </c>
      <c r="H62" s="20">
        <f>H60+H61-H39</f>
        <v/>
      </c>
      <c r="I62" s="20">
        <f>I60+I61-I39</f>
        <v/>
      </c>
      <c r="J62" s="20">
        <f>J60+J61-J39</f>
        <v/>
      </c>
      <c r="K62" s="20">
        <f>K60+K61-K39</f>
        <v/>
      </c>
      <c r="L62" s="20">
        <f>L60+L61-L39</f>
        <v/>
      </c>
      <c r="M62" s="20">
        <f>M60+M61-M39</f>
        <v/>
      </c>
      <c r="N62" s="20">
        <f>N60+N61-N39</f>
        <v/>
      </c>
      <c r="O62" s="20">
        <f>O60+O61-O39</f>
        <v/>
      </c>
      <c r="P62" s="20">
        <f>P60+P61-P39</f>
        <v/>
      </c>
    </row>
    <row r="63"/>
    <row r="64">
      <c r="B64" s="75" t="inlineStr">
        <is>
          <t>LP Cash Flow</t>
        </is>
      </c>
      <c r="C64" s="61" t="n"/>
      <c r="D64" s="62">
        <f>-D38*LPShare+D60*LPShare</f>
        <v/>
      </c>
      <c r="E64" s="62">
        <f>-E38*LPShare+E60*LPShare</f>
        <v/>
      </c>
      <c r="F64" s="62">
        <f>-F38*LPShare+F60*LPShare</f>
        <v/>
      </c>
      <c r="G64" s="62">
        <f>-G38*LPShare+G60*LPShare</f>
        <v/>
      </c>
      <c r="H64" s="62">
        <f>-H38*LPShare+H60*LPShare</f>
        <v/>
      </c>
      <c r="I64" s="62">
        <f>-I38*LPShare+I60*LPShare</f>
        <v/>
      </c>
      <c r="J64" s="62">
        <f>-J38*LPShare+J60*LPShare</f>
        <v/>
      </c>
      <c r="K64" s="62">
        <f>-K38*LPShare+K60*LPShare</f>
        <v/>
      </c>
      <c r="L64" s="62">
        <f>-L38*LPShare+L60*LPShare</f>
        <v/>
      </c>
      <c r="M64" s="62">
        <f>-M38*LPShare+M60*LPShare</f>
        <v/>
      </c>
      <c r="N64" s="62">
        <f>-N38*LPShare+N60*LPShare</f>
        <v/>
      </c>
      <c r="O64" s="62">
        <f>-O38*LPShare+O60*LPShare</f>
        <v/>
      </c>
      <c r="P64" s="62">
        <f>-P38*LPShare+P60*LPShare</f>
        <v/>
      </c>
    </row>
    <row r="65">
      <c r="B65" s="18" t="inlineStr">
        <is>
          <t>GP Cash Flow</t>
        </is>
      </c>
      <c r="C65" s="7" t="n"/>
      <c r="D65" s="19">
        <f>-D38*GPShare+D60*GPShare+D61</f>
        <v/>
      </c>
      <c r="E65" s="19">
        <f>-E38*GPShare+E60*GPShare+E61</f>
        <v/>
      </c>
      <c r="F65" s="19">
        <f>-F38*GPShare+F60*GPShare+F61</f>
        <v/>
      </c>
      <c r="G65" s="19">
        <f>-G38*GPShare+G60*GPShare+G61</f>
        <v/>
      </c>
      <c r="H65" s="19">
        <f>-H38*GPShare+H60*GPShare+H61</f>
        <v/>
      </c>
      <c r="I65" s="19">
        <f>-I38*GPShare+I60*GPShare+I61</f>
        <v/>
      </c>
      <c r="J65" s="19">
        <f>-J38*GPShare+J60*GPShare+J61</f>
        <v/>
      </c>
      <c r="K65" s="19">
        <f>-K38*GPShare+K60*GPShare+K61</f>
        <v/>
      </c>
      <c r="L65" s="19">
        <f>-L38*GPShare+L60*GPShare+L61</f>
        <v/>
      </c>
      <c r="M65" s="19">
        <f>-M38*GPShare+M60*GPShare+M61</f>
        <v/>
      </c>
      <c r="N65" s="19">
        <f>-N38*GPShare+N60*GPShare+N61</f>
        <v/>
      </c>
      <c r="O65" s="19">
        <f>-O38*GPShare+O60*GPShare+O61</f>
        <v/>
      </c>
      <c r="P65" s="19">
        <f>-P38*GPShare+P60*GPShare+P61</f>
        <v/>
      </c>
    </row>
    <row r="66"/>
    <row r="67">
      <c r="B67" s="4" t="inlineStr">
        <is>
          <t>SPLIT RETURNS</t>
        </is>
      </c>
      <c r="C67" s="5" t="n"/>
      <c r="D67" s="5" t="n"/>
      <c r="E67" s="5" t="n"/>
      <c r="F67" s="5" t="n"/>
      <c r="G67" s="5" t="n"/>
      <c r="H67" s="5" t="n"/>
      <c r="I67" s="5" t="n"/>
      <c r="J67" s="5" t="n"/>
      <c r="K67" s="5" t="n"/>
      <c r="L67" s="5" t="n"/>
      <c r="M67" s="5" t="n"/>
      <c r="N67" s="5" t="n"/>
      <c r="O67" s="5" t="n"/>
      <c r="P67" s="5" t="n"/>
      <c r="Q67" s="5" t="n"/>
    </row>
    <row r="68">
      <c r="B68" s="16" t="inlineStr">
        <is>
          <t>LP IRR</t>
        </is>
      </c>
      <c r="D68" s="26">
        <f>IRR(D64:P64)</f>
        <v/>
      </c>
    </row>
    <row r="69">
      <c r="B69" s="6" t="inlineStr">
        <is>
          <t>LP Equity Multiple</t>
        </is>
      </c>
      <c r="C69" s="7" t="n"/>
      <c r="D69" s="86">
        <f>SUMIF(D64:P64,"&gt;0")/-SUMIF(D64:P64,"&lt;0")</f>
        <v/>
      </c>
      <c r="E69" s="7" t="n"/>
      <c r="F69" s="7" t="n"/>
      <c r="G69" s="7" t="n"/>
      <c r="H69" s="7" t="n"/>
      <c r="I69" s="7" t="n"/>
      <c r="J69" s="7" t="n"/>
      <c r="K69" s="7" t="n"/>
      <c r="L69" s="7" t="n"/>
      <c r="M69" s="7" t="n"/>
      <c r="N69" s="7" t="n"/>
      <c r="O69" s="7" t="n"/>
      <c r="P69" s="7" t="n"/>
      <c r="Q69" s="7" t="n"/>
    </row>
    <row r="70">
      <c r="B70" s="9" t="inlineStr">
        <is>
          <t>LP Profit</t>
        </is>
      </c>
      <c r="D70" s="20">
        <f>SUM(D64:P64)</f>
        <v/>
      </c>
    </row>
    <row r="71">
      <c r="B71" s="18" t="inlineStr">
        <is>
          <t>GP IRR</t>
        </is>
      </c>
      <c r="C71" s="7" t="n"/>
      <c r="D71" s="21">
        <f>IRR(D65:P65)</f>
        <v/>
      </c>
      <c r="E71" s="7" t="n"/>
      <c r="F71" s="7" t="n"/>
      <c r="G71" s="7" t="n"/>
      <c r="H71" s="7" t="n"/>
      <c r="I71" s="7" t="n"/>
      <c r="J71" s="7" t="n"/>
      <c r="K71" s="7" t="n"/>
      <c r="L71" s="7" t="n"/>
      <c r="M71" s="7" t="n"/>
      <c r="N71" s="7" t="n"/>
      <c r="O71" s="7" t="n"/>
      <c r="P71" s="7" t="n"/>
      <c r="Q71" s="7" t="n"/>
    </row>
    <row r="72">
      <c r="B72" s="9" t="inlineStr">
        <is>
          <t>GP Equity Multiple</t>
        </is>
      </c>
      <c r="D72" s="87">
        <f>SUMIF(D65:P65,"&gt;0")/-SUMIF(D65:P65,"&lt;0")</f>
        <v/>
      </c>
    </row>
    <row r="73">
      <c r="B73" s="6" t="inlineStr">
        <is>
          <t>GP Profit, Co-invest plus Promote</t>
        </is>
      </c>
      <c r="C73" s="7" t="n"/>
      <c r="D73" s="15">
        <f>SUM(D65:P65)</f>
        <v/>
      </c>
      <c r="E73" s="7" t="n"/>
      <c r="F73" s="7" t="n"/>
      <c r="G73" s="7" t="n"/>
      <c r="H73" s="7" t="n"/>
      <c r="I73" s="7" t="n"/>
      <c r="J73" s="7" t="n"/>
      <c r="K73" s="7" t="n"/>
      <c r="L73" s="7" t="n"/>
      <c r="M73" s="7" t="n"/>
      <c r="N73" s="7" t="n"/>
      <c r="O73" s="7" t="n"/>
      <c r="P73" s="7" t="n"/>
      <c r="Q73" s="7" t="n"/>
    </row>
    <row r="74">
      <c r="B74" s="9" t="inlineStr">
        <is>
          <t>Total GP Promote</t>
        </is>
      </c>
      <c r="D74" s="20">
        <f>SUM(D61:P61)</f>
        <v/>
      </c>
    </row>
    <row r="75">
      <c r="B75" s="6" t="inlineStr">
        <is>
          <t>Promote as a % of Total Levered Profit</t>
        </is>
      </c>
      <c r="C75" s="7" t="n"/>
      <c r="D75" s="28">
        <f>D74/D34</f>
        <v/>
      </c>
      <c r="E75" s="7" t="n"/>
      <c r="F75" s="7" t="n"/>
      <c r="G75" s="7" t="n"/>
      <c r="H75" s="7" t="n"/>
      <c r="I75" s="7" t="n"/>
      <c r="J75" s="7" t="n"/>
      <c r="K75" s="7" t="n"/>
      <c r="L75" s="7" t="n"/>
      <c r="M75" s="7" t="n"/>
      <c r="N75" s="7" t="n"/>
      <c r="O75" s="7" t="n"/>
      <c r="P75" s="7" t="n"/>
      <c r="Q75" s="7" t="n"/>
    </row>
    <row r="76"/>
    <row r="77">
      <c r="B77" s="4" t="inlineStr">
        <is>
          <t>CHECKS</t>
        </is>
      </c>
      <c r="C77" s="5" t="n"/>
      <c r="D77" s="5" t="n"/>
      <c r="E77" s="5" t="n"/>
      <c r="F77" s="5" t="n"/>
      <c r="G77" s="5" t="n"/>
      <c r="H77" s="5" t="n"/>
      <c r="I77" s="5" t="n"/>
      <c r="J77" s="5" t="n"/>
      <c r="K77" s="5" t="n"/>
      <c r="L77" s="5" t="n"/>
      <c r="M77" s="5" t="n"/>
      <c r="N77" s="5" t="n"/>
      <c r="O77" s="5" t="n"/>
      <c r="P77" s="5" t="n"/>
      <c r="Q77" s="5" t="n"/>
    </row>
    <row r="78">
      <c r="B78" s="9" t="inlineStr">
        <is>
          <t>LP plus GP cash flow less total equity cash flow</t>
        </is>
      </c>
      <c r="D78" s="20">
        <f>SUM(D64:P64)+SUM(D65:P65)-SUM(D28:P28)</f>
        <v/>
      </c>
    </row>
    <row r="79">
      <c r="B79" s="6" t="inlineStr">
        <is>
          <t>Total allocation variance across all years</t>
        </is>
      </c>
      <c r="C79" s="7" t="n"/>
      <c r="D79" s="15">
        <f>SUM(D62:P62)</f>
        <v/>
      </c>
      <c r="E79" s="7" t="n"/>
      <c r="F79" s="7" t="n"/>
      <c r="G79" s="7" t="n"/>
      <c r="H79" s="7" t="n"/>
      <c r="I79" s="7" t="n"/>
      <c r="J79" s="7" t="n"/>
      <c r="K79" s="7" t="n"/>
      <c r="L79" s="7" t="n"/>
      <c r="M79" s="7" t="n"/>
      <c r="N79" s="7" t="n"/>
      <c r="O79" s="7" t="n"/>
      <c r="P79" s="7" t="n"/>
      <c r="Q79" s="7" t="n"/>
    </row>
    <row r="80"/>
    <row r="81">
      <c r="B81" s="3" t="inlineStr">
        <is>
          <t>Note: the waterfall uses the hurdle balance method. Each tier accrues at its hurdle rate on the unreturned balance and is reduced by the pro rata share of distributions, so the promote only engages once the tier below is satisfied.</t>
        </is>
      </c>
    </row>
    <row r="82">
      <c r="B82" s="3" t="inlineStr">
        <is>
          <t>Note: the unlevered cash flow excludes financing costs, so the unlevered IRR is a clean read on the asset. The levered IRR includes the refinancing proceeds released at the end of Year 2, which is the largest single driver of the equity return.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9"/>
  <sheetViews>
    <sheetView showGridLines="0" workbookViewId="0">
      <selection activeCell="A1" sqref="A1"/>
    </sheetView>
  </sheetViews>
  <sheetFormatPr baseColWidth="8" defaultRowHeight="15"/>
  <cols>
    <col width="2.4" customWidth="1" min="1" max="1"/>
    <col width="34" customWidth="1" min="2" max="2"/>
    <col width="1.5" customWidth="1" min="3" max="3"/>
    <col width="13" customWidth="1" min="4" max="4"/>
    <col width="13" customWidth="1" min="5" max="5"/>
    <col width="13" customWidth="1" min="6" max="6"/>
    <col width="13" customWidth="1" min="7" max="7"/>
    <col width="13" customWidth="1" min="8" max="8"/>
    <col width="13" customWidth="1" min="9" max="9"/>
    <col width="1.5" customWidth="1" min="10" max="10"/>
    <col width="60" customWidth="1" min="11" max="11"/>
  </cols>
  <sheetData>
    <row r="1" ht="20" customHeight="1">
      <c r="B1" s="1" t="inlineStr">
        <is>
          <t>SENSITIVITIES   |   HEAT MAPPED, BASE CASE MARKED WITH A DASHED BOX</t>
        </is>
      </c>
      <c r="C1" s="2" t="n"/>
      <c r="D1" s="2" t="n"/>
      <c r="E1" s="2" t="n"/>
      <c r="F1" s="2" t="n"/>
      <c r="G1" s="2" t="n"/>
      <c r="H1" s="2" t="n"/>
      <c r="I1" s="2" t="n"/>
    </row>
    <row r="2">
      <c r="B2" s="3" t="inlineStr">
        <is>
          <t>Each grid recomputes stabilised NOI and total project cost in closed form, so the figures are exact rather than interpolated.</t>
        </is>
      </c>
    </row>
    <row r="3"/>
    <row r="4">
      <c r="B4" s="4" t="inlineStr">
        <is>
          <t>WORKINGS</t>
        </is>
      </c>
      <c r="C4" s="5" t="n"/>
      <c r="D4" s="5" t="n"/>
      <c r="E4" s="5" t="n"/>
      <c r="F4" s="5" t="n"/>
      <c r="G4" s="5" t="n"/>
      <c r="H4" s="5" t="n"/>
      <c r="I4" s="5" t="n"/>
    </row>
    <row r="5" hidden="1" outlineLevel="1">
      <c r="B5" s="9" t="inlineStr">
        <is>
          <t>Stabilised NOI per $1 of Rate per kW per Month</t>
        </is>
      </c>
      <c r="D5" s="20">
        <f>KW_IT*12*(1+RentEscal)*(1-VacancyPct)*(1-MgmtFeePct)</f>
        <v/>
      </c>
    </row>
    <row r="6" hidden="1" outlineLevel="1">
      <c r="B6" s="9" t="inlineStr">
        <is>
          <t>Stabilised NOI Fixed Cost Component</t>
        </is>
      </c>
      <c r="D6" s="20">
        <f>-(Insurance+CapReservePerKw*KW_IT+LandlordGA)*(1+OpexEscal)</f>
        <v/>
      </c>
    </row>
    <row r="7" hidden="1" outlineLevel="1">
      <c r="B7" s="9" t="inlineStr">
        <is>
          <t>Check: modelled stabilised NOI less the closed form</t>
        </is>
      </c>
      <c r="D7" s="20">
        <f>StabilisedNOI-(D5*RatePerKw+D6)</f>
        <v/>
      </c>
    </row>
    <row r="8" hidden="1" outlineLevel="1">
      <c r="B8" s="9" t="inlineStr">
        <is>
          <t>Financing Gross Up Factor</t>
        </is>
      </c>
      <c r="D8" s="85">
        <f>1+LTC*OrigFee+IdcFactorSnr+IdcFactorPace</f>
        <v/>
      </c>
    </row>
    <row r="9" hidden="1" outlineLevel="1">
      <c r="B9" s="9" t="inlineStr">
        <is>
          <t>Cost Gross Up Factor for Contingency and Financing</t>
        </is>
      </c>
      <c r="D9" s="85">
        <f>(1+SelContPct)*D8</f>
        <v/>
      </c>
    </row>
    <row r="10" hidden="1" outlineLevel="1">
      <c r="B10" s="9" t="inlineStr">
        <is>
          <t>Module Quantity Basis (MW adjusted for specification)</t>
        </is>
      </c>
      <c r="D10" s="88">
        <f>MW_IT*(1+LiquidPrem)*(1+SelModEsc)</f>
        <v/>
      </c>
    </row>
    <row r="11"/>
    <row r="12">
      <c r="B12" s="4" t="inlineStr">
        <is>
          <t>GRID 1   YIELD ON COST BY RATE PER KW AND MODULE COST PER MW</t>
        </is>
      </c>
      <c r="C12" s="5" t="n"/>
      <c r="D12" s="5" t="n"/>
      <c r="E12" s="5" t="n"/>
      <c r="F12" s="5" t="n"/>
      <c r="G12" s="5" t="n"/>
      <c r="H12" s="5" t="n"/>
      <c r="I12" s="5" t="n"/>
    </row>
    <row r="13">
      <c r="B13" s="81" t="inlineStr">
        <is>
          <t>Rate per kW per Month</t>
        </is>
      </c>
      <c r="C13" s="89" t="n"/>
      <c r="D13" s="90" t="n">
        <v>6500000</v>
      </c>
      <c r="E13" s="90" t="n">
        <v>7000000</v>
      </c>
      <c r="F13" s="90" t="n">
        <v>7500000</v>
      </c>
      <c r="G13" s="90" t="n">
        <v>8000000</v>
      </c>
      <c r="H13" s="90" t="n">
        <v>8500000</v>
      </c>
    </row>
    <row r="14">
      <c r="B14" s="91" t="n">
        <v>100</v>
      </c>
      <c r="D14" s="92">
        <f>($D$5*$B14+$D$6)/(TotalProjectCost+(D$13-ModCostPerMW)*$D$10*$D$9)</f>
        <v/>
      </c>
      <c r="E14" s="92">
        <f>($D$5*$B14+$D$6)/(TotalProjectCost+(E$13-ModCostPerMW)*$D$10*$D$9)</f>
        <v/>
      </c>
      <c r="F14" s="92">
        <f>($D$5*$B14+$D$6)/(TotalProjectCost+(F$13-ModCostPerMW)*$D$10*$D$9)</f>
        <v/>
      </c>
      <c r="G14" s="92">
        <f>($D$5*$B14+$D$6)/(TotalProjectCost+(G$13-ModCostPerMW)*$D$10*$D$9)</f>
        <v/>
      </c>
      <c r="H14" s="92">
        <f>($D$5*$B14+$D$6)/(TotalProjectCost+(H$13-ModCostPerMW)*$D$10*$D$9)</f>
        <v/>
      </c>
    </row>
    <row r="15">
      <c r="B15" s="91" t="n">
        <v>120</v>
      </c>
      <c r="D15" s="92">
        <f>($D$5*$B15+$D$6)/(TotalProjectCost+(D$13-ModCostPerMW)*$D$10*$D$9)</f>
        <v/>
      </c>
      <c r="E15" s="92">
        <f>($D$5*$B15+$D$6)/(TotalProjectCost+(E$13-ModCostPerMW)*$D$10*$D$9)</f>
        <v/>
      </c>
      <c r="F15" s="92">
        <f>($D$5*$B15+$D$6)/(TotalProjectCost+(F$13-ModCostPerMW)*$D$10*$D$9)</f>
        <v/>
      </c>
      <c r="G15" s="92">
        <f>($D$5*$B15+$D$6)/(TotalProjectCost+(G$13-ModCostPerMW)*$D$10*$D$9)</f>
        <v/>
      </c>
      <c r="H15" s="92">
        <f>($D$5*$B15+$D$6)/(TotalProjectCost+(H$13-ModCostPerMW)*$D$10*$D$9)</f>
        <v/>
      </c>
    </row>
    <row r="16">
      <c r="B16" s="91" t="n">
        <v>140</v>
      </c>
      <c r="D16" s="92">
        <f>($D$5*$B16+$D$6)/(TotalProjectCost+(D$13-ModCostPerMW)*$D$10*$D$9)</f>
        <v/>
      </c>
      <c r="E16" s="92">
        <f>($D$5*$B16+$D$6)/(TotalProjectCost+(E$13-ModCostPerMW)*$D$10*$D$9)</f>
        <v/>
      </c>
      <c r="F16" s="92">
        <f>($D$5*$B16+$D$6)/(TotalProjectCost+(F$13-ModCostPerMW)*$D$10*$D$9)</f>
        <v/>
      </c>
      <c r="G16" s="92">
        <f>($D$5*$B16+$D$6)/(TotalProjectCost+(G$13-ModCostPerMW)*$D$10*$D$9)</f>
        <v/>
      </c>
      <c r="H16" s="92">
        <f>($D$5*$B16+$D$6)/(TotalProjectCost+(H$13-ModCostPerMW)*$D$10*$D$9)</f>
        <v/>
      </c>
    </row>
    <row r="17">
      <c r="B17" s="91" t="n">
        <v>160</v>
      </c>
      <c r="D17" s="92">
        <f>($D$5*$B17+$D$6)/(TotalProjectCost+(D$13-ModCostPerMW)*$D$10*$D$9)</f>
        <v/>
      </c>
      <c r="E17" s="92">
        <f>($D$5*$B17+$D$6)/(TotalProjectCost+(E$13-ModCostPerMW)*$D$10*$D$9)</f>
        <v/>
      </c>
      <c r="F17" s="93">
        <f>($D$5*$B17+$D$6)/(TotalProjectCost+(F$13-ModCostPerMW)*$D$10*$D$9)</f>
        <v/>
      </c>
      <c r="G17" s="92">
        <f>($D$5*$B17+$D$6)/(TotalProjectCost+(G$13-ModCostPerMW)*$D$10*$D$9)</f>
        <v/>
      </c>
      <c r="H17" s="92">
        <f>($D$5*$B17+$D$6)/(TotalProjectCost+(H$13-ModCostPerMW)*$D$10*$D$9)</f>
        <v/>
      </c>
    </row>
    <row r="18">
      <c r="B18" s="91" t="n">
        <v>180</v>
      </c>
      <c r="D18" s="92">
        <f>($D$5*$B18+$D$6)/(TotalProjectCost+(D$13-ModCostPerMW)*$D$10*$D$9)</f>
        <v/>
      </c>
      <c r="E18" s="92">
        <f>($D$5*$B18+$D$6)/(TotalProjectCost+(E$13-ModCostPerMW)*$D$10*$D$9)</f>
        <v/>
      </c>
      <c r="F18" s="92">
        <f>($D$5*$B18+$D$6)/(TotalProjectCost+(F$13-ModCostPerMW)*$D$10*$D$9)</f>
        <v/>
      </c>
      <c r="G18" s="92">
        <f>($D$5*$B18+$D$6)/(TotalProjectCost+(G$13-ModCostPerMW)*$D$10*$D$9)</f>
        <v/>
      </c>
      <c r="H18" s="92">
        <f>($D$5*$B18+$D$6)/(TotalProjectCost+(H$13-ModCostPerMW)*$D$10*$D$9)</f>
        <v/>
      </c>
    </row>
    <row r="19">
      <c r="B19" s="91" t="n">
        <v>200</v>
      </c>
      <c r="D19" s="92">
        <f>($D$5*$B19+$D$6)/(TotalProjectCost+(D$13-ModCostPerMW)*$D$10*$D$9)</f>
        <v/>
      </c>
      <c r="E19" s="92">
        <f>($D$5*$B19+$D$6)/(TotalProjectCost+(E$13-ModCostPerMW)*$D$10*$D$9)</f>
        <v/>
      </c>
      <c r="F19" s="92">
        <f>($D$5*$B19+$D$6)/(TotalProjectCost+(F$13-ModCostPerMW)*$D$10*$D$9)</f>
        <v/>
      </c>
      <c r="G19" s="92">
        <f>($D$5*$B19+$D$6)/(TotalProjectCost+(G$13-ModCostPerMW)*$D$10*$D$9)</f>
        <v/>
      </c>
      <c r="H19" s="92">
        <f>($D$5*$B19+$D$6)/(TotalProjectCost+(H$13-ModCostPerMW)*$D$10*$D$9)</f>
        <v/>
      </c>
    </row>
    <row r="20">
      <c r="B20" s="3" t="inlineStr">
        <is>
          <t>Yield on total project cost at stabilisation. Exit cap rates for leased data center product run 6.0% to 7.5%, so anything above roughly 9.0% carries a development spread worth underwriting.</t>
        </is>
      </c>
    </row>
    <row r="21"/>
    <row r="22"/>
    <row r="23">
      <c r="B23" s="4" t="inlineStr">
        <is>
          <t>GRID 2   STABILISED VALUE PER MW BY RATE PER KW AND EXIT CAP RATE</t>
        </is>
      </c>
      <c r="C23" s="5" t="n"/>
      <c r="D23" s="5" t="n"/>
      <c r="E23" s="5" t="n"/>
      <c r="F23" s="5" t="n"/>
      <c r="G23" s="5" t="n"/>
      <c r="H23" s="5" t="n"/>
      <c r="I23" s="5" t="n"/>
    </row>
    <row r="24">
      <c r="B24" s="81" t="inlineStr">
        <is>
          <t>Rate per kW per Month</t>
        </is>
      </c>
      <c r="C24" s="89" t="n"/>
      <c r="D24" s="94" t="n">
        <v>0.0575</v>
      </c>
      <c r="E24" s="94" t="n">
        <v>0.0625</v>
      </c>
      <c r="F24" s="94" t="n">
        <v>0.0675</v>
      </c>
      <c r="G24" s="94" t="n">
        <v>0.0725</v>
      </c>
      <c r="H24" s="94" t="n">
        <v>0.0775</v>
      </c>
    </row>
    <row r="25">
      <c r="B25" s="91" t="n">
        <v>100</v>
      </c>
      <c r="D25" s="95">
        <f>($D$5*$B25+$D$6)/D$24/MW_IT</f>
        <v/>
      </c>
      <c r="E25" s="95">
        <f>($D$5*$B25+$D$6)/E$24/MW_IT</f>
        <v/>
      </c>
      <c r="F25" s="95">
        <f>($D$5*$B25+$D$6)/F$24/MW_IT</f>
        <v/>
      </c>
      <c r="G25" s="95">
        <f>($D$5*$B25+$D$6)/G$24/MW_IT</f>
        <v/>
      </c>
      <c r="H25" s="95">
        <f>($D$5*$B25+$D$6)/H$24/MW_IT</f>
        <v/>
      </c>
    </row>
    <row r="26">
      <c r="B26" s="91" t="n">
        <v>120</v>
      </c>
      <c r="D26" s="95">
        <f>($D$5*$B26+$D$6)/D$24/MW_IT</f>
        <v/>
      </c>
      <c r="E26" s="95">
        <f>($D$5*$B26+$D$6)/E$24/MW_IT</f>
        <v/>
      </c>
      <c r="F26" s="95">
        <f>($D$5*$B26+$D$6)/F$24/MW_IT</f>
        <v/>
      </c>
      <c r="G26" s="95">
        <f>($D$5*$B26+$D$6)/G$24/MW_IT</f>
        <v/>
      </c>
      <c r="H26" s="95">
        <f>($D$5*$B26+$D$6)/H$24/MW_IT</f>
        <v/>
      </c>
    </row>
    <row r="27">
      <c r="B27" s="91" t="n">
        <v>140</v>
      </c>
      <c r="D27" s="95">
        <f>($D$5*$B27+$D$6)/D$24/MW_IT</f>
        <v/>
      </c>
      <c r="E27" s="95">
        <f>($D$5*$B27+$D$6)/E$24/MW_IT</f>
        <v/>
      </c>
      <c r="F27" s="95">
        <f>($D$5*$B27+$D$6)/F$24/MW_IT</f>
        <v/>
      </c>
      <c r="G27" s="95">
        <f>($D$5*$B27+$D$6)/G$24/MW_IT</f>
        <v/>
      </c>
      <c r="H27" s="95">
        <f>($D$5*$B27+$D$6)/H$24/MW_IT</f>
        <v/>
      </c>
    </row>
    <row r="28">
      <c r="B28" s="91" t="n">
        <v>160</v>
      </c>
      <c r="D28" s="95">
        <f>($D$5*$B28+$D$6)/D$24/MW_IT</f>
        <v/>
      </c>
      <c r="E28" s="95">
        <f>($D$5*$B28+$D$6)/E$24/MW_IT</f>
        <v/>
      </c>
      <c r="F28" s="96">
        <f>($D$5*$B28+$D$6)/F$24/MW_IT</f>
        <v/>
      </c>
      <c r="G28" s="95">
        <f>($D$5*$B28+$D$6)/G$24/MW_IT</f>
        <v/>
      </c>
      <c r="H28" s="95">
        <f>($D$5*$B28+$D$6)/H$24/MW_IT</f>
        <v/>
      </c>
    </row>
    <row r="29">
      <c r="B29" s="91" t="n">
        <v>180</v>
      </c>
      <c r="D29" s="95">
        <f>($D$5*$B29+$D$6)/D$24/MW_IT</f>
        <v/>
      </c>
      <c r="E29" s="95">
        <f>($D$5*$B29+$D$6)/E$24/MW_IT</f>
        <v/>
      </c>
      <c r="F29" s="95">
        <f>($D$5*$B29+$D$6)/F$24/MW_IT</f>
        <v/>
      </c>
      <c r="G29" s="95">
        <f>($D$5*$B29+$D$6)/G$24/MW_IT</f>
        <v/>
      </c>
      <c r="H29" s="95">
        <f>($D$5*$B29+$D$6)/H$24/MW_IT</f>
        <v/>
      </c>
    </row>
    <row r="30">
      <c r="B30" s="91" t="n">
        <v>200</v>
      </c>
      <c r="D30" s="95">
        <f>($D$5*$B30+$D$6)/D$24/MW_IT</f>
        <v/>
      </c>
      <c r="E30" s="95">
        <f>($D$5*$B30+$D$6)/E$24/MW_IT</f>
        <v/>
      </c>
      <c r="F30" s="95">
        <f>($D$5*$B30+$D$6)/F$24/MW_IT</f>
        <v/>
      </c>
      <c r="G30" s="95">
        <f>($D$5*$B30+$D$6)/G$24/MW_IT</f>
        <v/>
      </c>
      <c r="H30" s="95">
        <f>($D$5*$B30+$D$6)/H$24/MW_IT</f>
        <v/>
      </c>
    </row>
    <row r="31">
      <c r="B31" s="3" t="inlineStr">
        <is>
          <t>Gross stabilised value per MW of critical IT load, before selling costs. Compare against total project cost per MW on the Uses of Funds tab.</t>
        </is>
      </c>
    </row>
    <row r="32"/>
    <row r="33"/>
    <row r="34">
      <c r="B34" s="4" t="inlineStr">
        <is>
          <t>GRID 3   PROFIT ON COST BY RATE PER KW AND EXIT CAP RATE</t>
        </is>
      </c>
      <c r="C34" s="5" t="n"/>
      <c r="D34" s="5" t="n"/>
      <c r="E34" s="5" t="n"/>
      <c r="F34" s="5" t="n"/>
      <c r="G34" s="5" t="n"/>
      <c r="H34" s="5" t="n"/>
      <c r="I34" s="5" t="n"/>
    </row>
    <row r="35">
      <c r="B35" s="81" t="inlineStr">
        <is>
          <t>Rate per kW per Month</t>
        </is>
      </c>
      <c r="C35" s="89" t="n"/>
      <c r="D35" s="94" t="n">
        <v>0.0575</v>
      </c>
      <c r="E35" s="94" t="n">
        <v>0.0625</v>
      </c>
      <c r="F35" s="94" t="n">
        <v>0.0675</v>
      </c>
      <c r="G35" s="94" t="n">
        <v>0.0725</v>
      </c>
      <c r="H35" s="94" t="n">
        <v>0.0775</v>
      </c>
    </row>
    <row r="36">
      <c r="B36" s="91" t="n">
        <v>100</v>
      </c>
      <c r="D36" s="92">
        <f>(($D$5*$B36+$D$6)/D$35*(1-SellCostPct)-TotalProjectCost)/TotalProjectCost</f>
        <v/>
      </c>
      <c r="E36" s="92">
        <f>(($D$5*$B36+$D$6)/E$35*(1-SellCostPct)-TotalProjectCost)/TotalProjectCost</f>
        <v/>
      </c>
      <c r="F36" s="92">
        <f>(($D$5*$B36+$D$6)/F$35*(1-SellCostPct)-TotalProjectCost)/TotalProjectCost</f>
        <v/>
      </c>
      <c r="G36" s="92">
        <f>(($D$5*$B36+$D$6)/G$35*(1-SellCostPct)-TotalProjectCost)/TotalProjectCost</f>
        <v/>
      </c>
      <c r="H36" s="92">
        <f>(($D$5*$B36+$D$6)/H$35*(1-SellCostPct)-TotalProjectCost)/TotalProjectCost</f>
        <v/>
      </c>
    </row>
    <row r="37">
      <c r="B37" s="91" t="n">
        <v>120</v>
      </c>
      <c r="D37" s="92">
        <f>(($D$5*$B37+$D$6)/D$35*(1-SellCostPct)-TotalProjectCost)/TotalProjectCost</f>
        <v/>
      </c>
      <c r="E37" s="92">
        <f>(($D$5*$B37+$D$6)/E$35*(1-SellCostPct)-TotalProjectCost)/TotalProjectCost</f>
        <v/>
      </c>
      <c r="F37" s="92">
        <f>(($D$5*$B37+$D$6)/F$35*(1-SellCostPct)-TotalProjectCost)/TotalProjectCost</f>
        <v/>
      </c>
      <c r="G37" s="92">
        <f>(($D$5*$B37+$D$6)/G$35*(1-SellCostPct)-TotalProjectCost)/TotalProjectCost</f>
        <v/>
      </c>
      <c r="H37" s="92">
        <f>(($D$5*$B37+$D$6)/H$35*(1-SellCostPct)-TotalProjectCost)/TotalProjectCost</f>
        <v/>
      </c>
    </row>
    <row r="38">
      <c r="B38" s="91" t="n">
        <v>140</v>
      </c>
      <c r="D38" s="92">
        <f>(($D$5*$B38+$D$6)/D$35*(1-SellCostPct)-TotalProjectCost)/TotalProjectCost</f>
        <v/>
      </c>
      <c r="E38" s="92">
        <f>(($D$5*$B38+$D$6)/E$35*(1-SellCostPct)-TotalProjectCost)/TotalProjectCost</f>
        <v/>
      </c>
      <c r="F38" s="92">
        <f>(($D$5*$B38+$D$6)/F$35*(1-SellCostPct)-TotalProjectCost)/TotalProjectCost</f>
        <v/>
      </c>
      <c r="G38" s="92">
        <f>(($D$5*$B38+$D$6)/G$35*(1-SellCostPct)-TotalProjectCost)/TotalProjectCost</f>
        <v/>
      </c>
      <c r="H38" s="92">
        <f>(($D$5*$B38+$D$6)/H$35*(1-SellCostPct)-TotalProjectCost)/TotalProjectCost</f>
        <v/>
      </c>
    </row>
    <row r="39">
      <c r="B39" s="91" t="n">
        <v>160</v>
      </c>
      <c r="D39" s="92">
        <f>(($D$5*$B39+$D$6)/D$35*(1-SellCostPct)-TotalProjectCost)/TotalProjectCost</f>
        <v/>
      </c>
      <c r="E39" s="92">
        <f>(($D$5*$B39+$D$6)/E$35*(1-SellCostPct)-TotalProjectCost)/TotalProjectCost</f>
        <v/>
      </c>
      <c r="F39" s="93">
        <f>(($D$5*$B39+$D$6)/F$35*(1-SellCostPct)-TotalProjectCost)/TotalProjectCost</f>
        <v/>
      </c>
      <c r="G39" s="92">
        <f>(($D$5*$B39+$D$6)/G$35*(1-SellCostPct)-TotalProjectCost)/TotalProjectCost</f>
        <v/>
      </c>
      <c r="H39" s="92">
        <f>(($D$5*$B39+$D$6)/H$35*(1-SellCostPct)-TotalProjectCost)/TotalProjectCost</f>
        <v/>
      </c>
    </row>
    <row r="40">
      <c r="B40" s="91" t="n">
        <v>180</v>
      </c>
      <c r="D40" s="92">
        <f>(($D$5*$B40+$D$6)/D$35*(1-SellCostPct)-TotalProjectCost)/TotalProjectCost</f>
        <v/>
      </c>
      <c r="E40" s="92">
        <f>(($D$5*$B40+$D$6)/E$35*(1-SellCostPct)-TotalProjectCost)/TotalProjectCost</f>
        <v/>
      </c>
      <c r="F40" s="92">
        <f>(($D$5*$B40+$D$6)/F$35*(1-SellCostPct)-TotalProjectCost)/TotalProjectCost</f>
        <v/>
      </c>
      <c r="G40" s="92">
        <f>(($D$5*$B40+$D$6)/G$35*(1-SellCostPct)-TotalProjectCost)/TotalProjectCost</f>
        <v/>
      </c>
      <c r="H40" s="92">
        <f>(($D$5*$B40+$D$6)/H$35*(1-SellCostPct)-TotalProjectCost)/TotalProjectCost</f>
        <v/>
      </c>
    </row>
    <row r="41">
      <c r="B41" s="91" t="n">
        <v>200</v>
      </c>
      <c r="D41" s="92">
        <f>(($D$5*$B41+$D$6)/D$35*(1-SellCostPct)-TotalProjectCost)/TotalProjectCost</f>
        <v/>
      </c>
      <c r="E41" s="92">
        <f>(($D$5*$B41+$D$6)/E$35*(1-SellCostPct)-TotalProjectCost)/TotalProjectCost</f>
        <v/>
      </c>
      <c r="F41" s="92">
        <f>(($D$5*$B41+$D$6)/F$35*(1-SellCostPct)-TotalProjectCost)/TotalProjectCost</f>
        <v/>
      </c>
      <c r="G41" s="92">
        <f>(($D$5*$B41+$D$6)/G$35*(1-SellCostPct)-TotalProjectCost)/TotalProjectCost</f>
        <v/>
      </c>
      <c r="H41" s="92">
        <f>(($D$5*$B41+$D$6)/H$35*(1-SellCostPct)-TotalProjectCost)/TotalProjectCost</f>
        <v/>
      </c>
    </row>
    <row r="42">
      <c r="B42" s="3" t="inlineStr">
        <is>
          <t>Net of selling costs and measured against the selected total project cost. A merchant build is normally underwritten to a minimum of 20% profit on cost to absorb schedule and cost overrun risk.</t>
        </is>
      </c>
    </row>
    <row r="43"/>
    <row r="44"/>
    <row r="45">
      <c r="B45" s="4" t="inlineStr">
        <is>
          <t>GRID 4   DEVELOPMENT SPREAD IN BASIS POINTS BY RATE PER KW AND EXIT CAP RATE</t>
        </is>
      </c>
      <c r="C45" s="5" t="n"/>
      <c r="D45" s="5" t="n"/>
      <c r="E45" s="5" t="n"/>
      <c r="F45" s="5" t="n"/>
      <c r="G45" s="5" t="n"/>
      <c r="H45" s="5" t="n"/>
      <c r="I45" s="5" t="n"/>
    </row>
    <row r="46">
      <c r="B46" s="81" t="inlineStr">
        <is>
          <t>Rate per kW per Month</t>
        </is>
      </c>
      <c r="C46" s="89" t="n"/>
      <c r="D46" s="94" t="n">
        <v>0.0575</v>
      </c>
      <c r="E46" s="94" t="n">
        <v>0.0625</v>
      </c>
      <c r="F46" s="94" t="n">
        <v>0.0675</v>
      </c>
      <c r="G46" s="94" t="n">
        <v>0.0725</v>
      </c>
      <c r="H46" s="94" t="n">
        <v>0.0775</v>
      </c>
    </row>
    <row r="47">
      <c r="B47" s="91" t="n">
        <v>100</v>
      </c>
      <c r="D47" s="97">
        <f>(($D$5*$B47+$D$6)/TotalProjectCost-D$46)*10000</f>
        <v/>
      </c>
      <c r="E47" s="97">
        <f>(($D$5*$B47+$D$6)/TotalProjectCost-E$46)*10000</f>
        <v/>
      </c>
      <c r="F47" s="97">
        <f>(($D$5*$B47+$D$6)/TotalProjectCost-F$46)*10000</f>
        <v/>
      </c>
      <c r="G47" s="97">
        <f>(($D$5*$B47+$D$6)/TotalProjectCost-G$46)*10000</f>
        <v/>
      </c>
      <c r="H47" s="97">
        <f>(($D$5*$B47+$D$6)/TotalProjectCost-H$46)*10000</f>
        <v/>
      </c>
    </row>
    <row r="48">
      <c r="B48" s="91" t="n">
        <v>120</v>
      </c>
      <c r="D48" s="97">
        <f>(($D$5*$B48+$D$6)/TotalProjectCost-D$46)*10000</f>
        <v/>
      </c>
      <c r="E48" s="97">
        <f>(($D$5*$B48+$D$6)/TotalProjectCost-E$46)*10000</f>
        <v/>
      </c>
      <c r="F48" s="97">
        <f>(($D$5*$B48+$D$6)/TotalProjectCost-F$46)*10000</f>
        <v/>
      </c>
      <c r="G48" s="97">
        <f>(($D$5*$B48+$D$6)/TotalProjectCost-G$46)*10000</f>
        <v/>
      </c>
      <c r="H48" s="97">
        <f>(($D$5*$B48+$D$6)/TotalProjectCost-H$46)*10000</f>
        <v/>
      </c>
    </row>
    <row r="49">
      <c r="B49" s="91" t="n">
        <v>140</v>
      </c>
      <c r="D49" s="97">
        <f>(($D$5*$B49+$D$6)/TotalProjectCost-D$46)*10000</f>
        <v/>
      </c>
      <c r="E49" s="97">
        <f>(($D$5*$B49+$D$6)/TotalProjectCost-E$46)*10000</f>
        <v/>
      </c>
      <c r="F49" s="97">
        <f>(($D$5*$B49+$D$6)/TotalProjectCost-F$46)*10000</f>
        <v/>
      </c>
      <c r="G49" s="97">
        <f>(($D$5*$B49+$D$6)/TotalProjectCost-G$46)*10000</f>
        <v/>
      </c>
      <c r="H49" s="97">
        <f>(($D$5*$B49+$D$6)/TotalProjectCost-H$46)*10000</f>
        <v/>
      </c>
    </row>
    <row r="50">
      <c r="B50" s="91" t="n">
        <v>160</v>
      </c>
      <c r="D50" s="97">
        <f>(($D$5*$B50+$D$6)/TotalProjectCost-D$46)*10000</f>
        <v/>
      </c>
      <c r="E50" s="97">
        <f>(($D$5*$B50+$D$6)/TotalProjectCost-E$46)*10000</f>
        <v/>
      </c>
      <c r="F50" s="98">
        <f>(($D$5*$B50+$D$6)/TotalProjectCost-F$46)*10000</f>
        <v/>
      </c>
      <c r="G50" s="97">
        <f>(($D$5*$B50+$D$6)/TotalProjectCost-G$46)*10000</f>
        <v/>
      </c>
      <c r="H50" s="97">
        <f>(($D$5*$B50+$D$6)/TotalProjectCost-H$46)*10000</f>
        <v/>
      </c>
    </row>
    <row r="51">
      <c r="B51" s="91" t="n">
        <v>180</v>
      </c>
      <c r="D51" s="97">
        <f>(($D$5*$B51+$D$6)/TotalProjectCost-D$46)*10000</f>
        <v/>
      </c>
      <c r="E51" s="97">
        <f>(($D$5*$B51+$D$6)/TotalProjectCost-E$46)*10000</f>
        <v/>
      </c>
      <c r="F51" s="97">
        <f>(($D$5*$B51+$D$6)/TotalProjectCost-F$46)*10000</f>
        <v/>
      </c>
      <c r="G51" s="97">
        <f>(($D$5*$B51+$D$6)/TotalProjectCost-G$46)*10000</f>
        <v/>
      </c>
      <c r="H51" s="97">
        <f>(($D$5*$B51+$D$6)/TotalProjectCost-H$46)*10000</f>
        <v/>
      </c>
    </row>
    <row r="52">
      <c r="B52" s="91" t="n">
        <v>200</v>
      </c>
      <c r="D52" s="97">
        <f>(($D$5*$B52+$D$6)/TotalProjectCost-D$46)*10000</f>
        <v/>
      </c>
      <c r="E52" s="97">
        <f>(($D$5*$B52+$D$6)/TotalProjectCost-E$46)*10000</f>
        <v/>
      </c>
      <c r="F52" s="97">
        <f>(($D$5*$B52+$D$6)/TotalProjectCost-F$46)*10000</f>
        <v/>
      </c>
      <c r="G52" s="97">
        <f>(($D$5*$B52+$D$6)/TotalProjectCost-G$46)*10000</f>
        <v/>
      </c>
      <c r="H52" s="97">
        <f>(($D$5*$B52+$D$6)/TotalProjectCost-H$46)*10000</f>
        <v/>
      </c>
    </row>
    <row r="53">
      <c r="B53" s="3" t="inlineStr">
        <is>
          <t>Yield on cost less the exit cap rate. The spread is the compensation for taking construction, interconnection and lease up risk rather than buying a stabilised asset.</t>
        </is>
      </c>
    </row>
    <row r="54"/>
    <row r="55"/>
    <row r="56">
      <c r="B56" s="4" t="inlineStr">
        <is>
          <t>GRID 5   TOTAL PROJECT COST PER MW BY MODULE COST PER MW AND LAND BASIS</t>
        </is>
      </c>
      <c r="C56" s="5" t="n"/>
      <c r="D56" s="5" t="n"/>
      <c r="E56" s="5" t="n"/>
      <c r="F56" s="5" t="n"/>
      <c r="G56" s="5" t="n"/>
      <c r="H56" s="5" t="n"/>
      <c r="I56" s="5" t="n"/>
    </row>
    <row r="57">
      <c r="B57" s="81" t="inlineStr">
        <is>
          <t>Land or Building Basis</t>
        </is>
      </c>
      <c r="C57" s="89" t="n"/>
      <c r="D57" s="90" t="n">
        <v>6500000</v>
      </c>
      <c r="E57" s="90" t="n">
        <v>7000000</v>
      </c>
      <c r="F57" s="90" t="n">
        <v>7500000</v>
      </c>
      <c r="G57" s="90" t="n">
        <v>8000000</v>
      </c>
      <c r="H57" s="90" t="n">
        <v>8500000</v>
      </c>
    </row>
    <row r="58">
      <c r="B58" s="99" t="n">
        <v>1000000</v>
      </c>
      <c r="D58" s="95">
        <f>((TotalProjectCost+(D$57-ModCostPerMW)*$D$10*$D$9)+($B58-SelLand)*$D$8)/MW_IT</f>
        <v/>
      </c>
      <c r="E58" s="95">
        <f>((TotalProjectCost+(E$57-ModCostPerMW)*$D$10*$D$9)+($B58-SelLand)*$D$8)/MW_IT</f>
        <v/>
      </c>
      <c r="F58" s="95">
        <f>((TotalProjectCost+(F$57-ModCostPerMW)*$D$10*$D$9)+($B58-SelLand)*$D$8)/MW_IT</f>
        <v/>
      </c>
      <c r="G58" s="95">
        <f>((TotalProjectCost+(G$57-ModCostPerMW)*$D$10*$D$9)+($B58-SelLand)*$D$8)/MW_IT</f>
        <v/>
      </c>
      <c r="H58" s="95">
        <f>((TotalProjectCost+(H$57-ModCostPerMW)*$D$10*$D$9)+($B58-SelLand)*$D$8)/MW_IT</f>
        <v/>
      </c>
    </row>
    <row r="59">
      <c r="B59" s="99" t="n">
        <v>2500000</v>
      </c>
      <c r="D59" s="95">
        <f>((TotalProjectCost+(D$57-ModCostPerMW)*$D$10*$D$9)+($B59-SelLand)*$D$8)/MW_IT</f>
        <v/>
      </c>
      <c r="E59" s="95">
        <f>((TotalProjectCost+(E$57-ModCostPerMW)*$D$10*$D$9)+($B59-SelLand)*$D$8)/MW_IT</f>
        <v/>
      </c>
      <c r="F59" s="96">
        <f>((TotalProjectCost+(F$57-ModCostPerMW)*$D$10*$D$9)+($B59-SelLand)*$D$8)/MW_IT</f>
        <v/>
      </c>
      <c r="G59" s="95">
        <f>((TotalProjectCost+(G$57-ModCostPerMW)*$D$10*$D$9)+($B59-SelLand)*$D$8)/MW_IT</f>
        <v/>
      </c>
      <c r="H59" s="95">
        <f>((TotalProjectCost+(H$57-ModCostPerMW)*$D$10*$D$9)+($B59-SelLand)*$D$8)/MW_IT</f>
        <v/>
      </c>
    </row>
    <row r="60">
      <c r="B60" s="99" t="n">
        <v>5000000</v>
      </c>
      <c r="D60" s="95">
        <f>((TotalProjectCost+(D$57-ModCostPerMW)*$D$10*$D$9)+($B60-SelLand)*$D$8)/MW_IT</f>
        <v/>
      </c>
      <c r="E60" s="95">
        <f>((TotalProjectCost+(E$57-ModCostPerMW)*$D$10*$D$9)+($B60-SelLand)*$D$8)/MW_IT</f>
        <v/>
      </c>
      <c r="F60" s="95">
        <f>((TotalProjectCost+(F$57-ModCostPerMW)*$D$10*$D$9)+($B60-SelLand)*$D$8)/MW_IT</f>
        <v/>
      </c>
      <c r="G60" s="95">
        <f>((TotalProjectCost+(G$57-ModCostPerMW)*$D$10*$D$9)+($B60-SelLand)*$D$8)/MW_IT</f>
        <v/>
      </c>
      <c r="H60" s="95">
        <f>((TotalProjectCost+(H$57-ModCostPerMW)*$D$10*$D$9)+($B60-SelLand)*$D$8)/MW_IT</f>
        <v/>
      </c>
    </row>
    <row r="61">
      <c r="B61" s="99" t="n">
        <v>7500000</v>
      </c>
      <c r="D61" s="95">
        <f>((TotalProjectCost+(D$57-ModCostPerMW)*$D$10*$D$9)+($B61-SelLand)*$D$8)/MW_IT</f>
        <v/>
      </c>
      <c r="E61" s="95">
        <f>((TotalProjectCost+(E$57-ModCostPerMW)*$D$10*$D$9)+($B61-SelLand)*$D$8)/MW_IT</f>
        <v/>
      </c>
      <c r="F61" s="95">
        <f>((TotalProjectCost+(F$57-ModCostPerMW)*$D$10*$D$9)+($B61-SelLand)*$D$8)/MW_IT</f>
        <v/>
      </c>
      <c r="G61" s="95">
        <f>((TotalProjectCost+(G$57-ModCostPerMW)*$D$10*$D$9)+($B61-SelLand)*$D$8)/MW_IT</f>
        <v/>
      </c>
      <c r="H61" s="95">
        <f>((TotalProjectCost+(H$57-ModCostPerMW)*$D$10*$D$9)+($B61-SelLand)*$D$8)/MW_IT</f>
        <v/>
      </c>
    </row>
    <row r="62">
      <c r="B62" s="99" t="n">
        <v>10000000</v>
      </c>
      <c r="D62" s="95">
        <f>((TotalProjectCost+(D$57-ModCostPerMW)*$D$10*$D$9)+($B62-SelLand)*$D$8)/MW_IT</f>
        <v/>
      </c>
      <c r="E62" s="95">
        <f>((TotalProjectCost+(E$57-ModCostPerMW)*$D$10*$D$9)+($B62-SelLand)*$D$8)/MW_IT</f>
        <v/>
      </c>
      <c r="F62" s="95">
        <f>((TotalProjectCost+(F$57-ModCostPerMW)*$D$10*$D$9)+($B62-SelLand)*$D$8)/MW_IT</f>
        <v/>
      </c>
      <c r="G62" s="95">
        <f>((TotalProjectCost+(G$57-ModCostPerMW)*$D$10*$D$9)+($B62-SelLand)*$D$8)/MW_IT</f>
        <v/>
      </c>
      <c r="H62" s="95">
        <f>((TotalProjectCost+(H$57-ModCostPerMW)*$D$10*$D$9)+($B62-SelLand)*$D$8)/MW_IT</f>
        <v/>
      </c>
    </row>
    <row r="63">
      <c r="B63" s="3" t="inlineStr">
        <is>
          <t>Land carries only the financing gross up because contingency is struck on hard cost. These two lines drive the entire $9.9M to $16.3M per MW range across the cost cases, which is why the site basis and the module scope matrix are the first two diligence items.</t>
        </is>
      </c>
    </row>
    <row r="64"/>
    <row r="65"/>
    <row r="66">
      <c r="B66" s="4" t="inlineStr">
        <is>
          <t>LEVERED EQUITY IRR</t>
        </is>
      </c>
      <c r="C66" s="5" t="n"/>
      <c r="D66" s="5" t="n"/>
      <c r="E66" s="5" t="n"/>
      <c r="F66" s="5" t="n"/>
      <c r="G66" s="5" t="n"/>
      <c r="H66" s="5" t="n"/>
      <c r="I66" s="5" t="n"/>
    </row>
    <row r="67">
      <c r="B67" s="16" t="inlineStr">
        <is>
          <t>Levered Equity IRR at the Selected Case</t>
        </is>
      </c>
      <c r="D67" s="37">
        <f>'Returns'!$D$30</f>
        <v/>
      </c>
    </row>
    <row r="68">
      <c r="B68" s="9" t="inlineStr">
        <is>
          <t>LP IRR at the Selected Case</t>
        </is>
      </c>
      <c r="D68" s="31">
        <f>'Returns'!$D$68</f>
        <v/>
      </c>
    </row>
    <row r="69"/>
    <row r="70">
      <c r="B70" s="3" t="inlineStr">
        <is>
          <t>Note: levered IRR is path dependent through the refinancing and the amortisation schedule, so it has no closed form and is not gridded above. To sensitise it, select the range below, then use Data, What If Analysis, Data Table with the row input cell set to the exit cap rate on Assumptions and the column input cell set to the rate per kW per month.</t>
        </is>
      </c>
    </row>
    <row r="71"/>
    <row r="72">
      <c r="B72" s="81" t="inlineStr">
        <is>
          <t>Rate per kW per Month</t>
        </is>
      </c>
      <c r="C72" s="89" t="n"/>
      <c r="D72" s="37">
        <f>'Returns'!$D$30</f>
        <v/>
      </c>
      <c r="E72" s="94" t="n">
        <v>0.0575</v>
      </c>
      <c r="F72" s="94" t="n">
        <v>0.0625</v>
      </c>
      <c r="G72" s="94" t="n">
        <v>0.0675</v>
      </c>
      <c r="H72" s="94" t="n">
        <v>0.0725</v>
      </c>
      <c r="I72" s="94" t="n">
        <v>0.0775</v>
      </c>
    </row>
    <row r="73">
      <c r="D73" s="91" t="n">
        <v>100</v>
      </c>
      <c r="E73" s="100" t="n"/>
      <c r="F73" s="100" t="n"/>
      <c r="G73" s="100" t="n"/>
      <c r="H73" s="100" t="n"/>
      <c r="I73" s="100" t="n"/>
    </row>
    <row r="74">
      <c r="D74" s="91" t="n">
        <v>120</v>
      </c>
      <c r="E74" s="100" t="n"/>
      <c r="F74" s="100" t="n"/>
      <c r="G74" s="100" t="n"/>
      <c r="H74" s="100" t="n"/>
      <c r="I74" s="100" t="n"/>
    </row>
    <row r="75">
      <c r="D75" s="91" t="n">
        <v>140</v>
      </c>
      <c r="E75" s="100" t="n"/>
      <c r="F75" s="100" t="n"/>
      <c r="G75" s="100" t="n"/>
      <c r="H75" s="100" t="n"/>
      <c r="I75" s="100" t="n"/>
    </row>
    <row r="76">
      <c r="D76" s="91" t="n">
        <v>160</v>
      </c>
      <c r="E76" s="100" t="n"/>
      <c r="F76" s="100" t="n"/>
      <c r="G76" s="100" t="n"/>
      <c r="H76" s="100" t="n"/>
      <c r="I76" s="100" t="n"/>
    </row>
    <row r="77">
      <c r="D77" s="91" t="n">
        <v>180</v>
      </c>
      <c r="E77" s="100" t="n"/>
      <c r="F77" s="100" t="n"/>
      <c r="G77" s="100" t="n"/>
      <c r="H77" s="100" t="n"/>
      <c r="I77" s="100" t="n"/>
    </row>
    <row r="78">
      <c r="D78" s="91" t="n">
        <v>200</v>
      </c>
      <c r="E78" s="100" t="n"/>
      <c r="F78" s="100" t="n"/>
      <c r="G78" s="100" t="n"/>
      <c r="H78" s="100" t="n"/>
      <c r="I78" s="100" t="n"/>
    </row>
    <row r="79">
      <c r="B79" s="3" t="inlineStr">
        <is>
          <t>Select the block above including the header row and the left hand column, then apply the Data Table. Excel populates the empty cells.</t>
        </is>
      </c>
    </row>
  </sheetData>
  <conditionalFormatting sqref="D14:H19">
    <cfRule type="colorScale" priority="1">
      <colorScale>
        <cfvo type="min"/>
        <cfvo type="percentile" val="50"/>
        <cfvo type="max"/>
        <color rgb="FFF2DCDB"/>
        <color rgb="FFFFFFFF"/>
        <color rgb="FFE2EFDA"/>
      </colorScale>
    </cfRule>
  </conditionalFormatting>
  <conditionalFormatting sqref="D25:H30">
    <cfRule type="colorScale" priority="2">
      <colorScale>
        <cfvo type="min"/>
        <cfvo type="percentile" val="50"/>
        <cfvo type="max"/>
        <color rgb="FFF2DCDB"/>
        <color rgb="FFFFFFFF"/>
        <color rgb="FFE2EFDA"/>
      </colorScale>
    </cfRule>
  </conditionalFormatting>
  <conditionalFormatting sqref="D36:H41">
    <cfRule type="colorScale" priority="3">
      <colorScale>
        <cfvo type="min"/>
        <cfvo type="percentile" val="50"/>
        <cfvo type="max"/>
        <color rgb="FFF2DCDB"/>
        <color rgb="FFFFFFFF"/>
        <color rgb="FFE2EFDA"/>
      </colorScale>
    </cfRule>
  </conditionalFormatting>
  <conditionalFormatting sqref="D47:H52">
    <cfRule type="colorScale" priority="4">
      <colorScale>
        <cfvo type="min"/>
        <cfvo type="percentile" val="50"/>
        <cfvo type="max"/>
        <color rgb="FFF2DCDB"/>
        <color rgb="FFFFFFFF"/>
        <color rgb="FFE2EFDA"/>
      </colorScale>
    </cfRule>
  </conditionalFormatting>
  <conditionalFormatting sqref="D58:H62">
    <cfRule type="colorScale" priority="5">
      <colorScale>
        <cfvo type="min"/>
        <cfvo type="percentile" val="50"/>
        <cfvo type="max"/>
        <color rgb="FFE2EFDA"/>
        <color rgb="FFFFFFFF"/>
        <color rgb="FFF2DCD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2026-09-23T15:26:47Z</dcterms:created>
  <dcterms:modified xsi:type="dcterms:W3CDTF">2026-09-23T15:26:47Z</dcterms:modified>
</cp:coreProperties>
</file>