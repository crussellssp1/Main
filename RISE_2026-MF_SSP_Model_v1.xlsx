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Notes" sheetId="1" state="visible" r:id="rId3"/>
    <sheet name="Cap Stack Control" sheetId="2" state="visible" r:id="rId4"/>
    <sheet name="S&amp;U" sheetId="3" state="visible" r:id="rId5"/>
    <sheet name="UW Drivers" sheetId="4" state="visible" r:id="rId6"/>
    <sheet name="SSP UW Summary" sheetId="5" state="visible" r:id="rId7"/>
    <sheet name="Rollup" sheetId="6" state="visible" r:id="rId8"/>
    <sheet name="Adverse Selection" sheetId="7" state="visible" r:id="rId9"/>
    <sheet name="Sensitivity" sheetId="8" state="visible" r:id="rId10"/>
    <sheet name="Portfolio Overview" sheetId="9" state="visible" r:id="rId11"/>
    <sheet name="Checks" sheetId="10" state="visible" r:id="rId12"/>
    <sheet name="Tape" sheetId="11" state="visible" r:id="rId13"/>
    <sheet name="Occupancy" sheetId="12" state="visible" r:id="rId14"/>
    <sheet name="Capex" sheetId="13" state="visible" r:id="rId15"/>
  </sheets>
  <definedNames>
    <definedName function="false" hidden="false" name="Accrual" vbProcedure="false">'Cap Stack Control'!$H$10</definedName>
    <definedName function="false" hidden="false" name="AppCap_Rng" vbProcedure="false">'UW Drivers'!$Q$15:$Q$37</definedName>
    <definedName function="false" hidden="false" name="Appraised_Value_AsIs" vbProcedure="false">Tape!$R$29</definedName>
    <definedName function="false" hidden="false" name="Appraised_Value_Portfolio" vbProcedure="false">Tape!$H$32</definedName>
    <definedName function="false" hidden="false" name="Bridge_Chk_SSP" vbProcedure="false">Rollup!$D$65</definedName>
    <definedName function="false" hidden="false" name="Bridge_Chk_UW" vbProcedure="false">Rollup!$D$64</definedName>
    <definedName function="false" hidden="false" name="Capex_Total" vbProcedure="false">Capex!$H$29</definedName>
    <definedName function="false" hidden="false" name="Checks_Status" vbProcedure="false">Checks!$D$3</definedName>
    <definedName function="false" hidden="false" name="Class_Label" vbProcedure="false">'Cap Stack Control'!$F$17:$F$23</definedName>
    <definedName function="false" hidden="false" name="Class_Pct_Total" vbProcedure="false">'Cap Stack Control'!$I$24</definedName>
    <definedName function="false" hidden="false" name="Class_Rating" vbProcedure="false">'Cap Stack Control'!$G$17:$G$23</definedName>
    <definedName function="false" hidden="false" name="Class_Size" vbProcedure="false">'Cap Stack Control'!$H$17:$H$23</definedName>
    <definedName function="false" hidden="false" name="Days_Year" vbProcedure="false">'Cap Stack Control'!$H$8</definedName>
    <definedName function="false" hidden="false" name="Day_Basis" vbProcedure="false">'Cap Stack Control'!$H$9</definedName>
    <definedName function="false" hidden="false" name="Deal_Name" vbProcedure="false">'Cap Stack Control'!$D$4</definedName>
    <definedName function="false" hidden="false" name="Debt_PU_Mtg" vbProcedure="false">'Cap Stack Control'!$G$54</definedName>
    <definedName function="false" hidden="false" name="Debt_PU_Tot" vbProcedure="false">'Cap Stack Control'!$J$54</definedName>
    <definedName function="false" hidden="false" name="DSCR_Mtg_NCF_UW" vbProcedure="false">'Cap Stack Control'!$H$51</definedName>
    <definedName function="false" hidden="false" name="DSCR_Mtg_NOI_UW" vbProcedure="false">'Cap Stack Control'!$H$50</definedName>
    <definedName function="false" hidden="false" name="DSCR_Tot_NCF_UW" vbProcedure="false">'Cap Stack Control'!$K$51</definedName>
    <definedName function="false" hidden="false" name="DSCR_Tot_NOI_UW" vbProcedure="false">'Cap Stack Control'!$K$50</definedName>
    <definedName function="false" hidden="false" name="DY_Mtg_NCF_UW" vbProcedure="false">'Cap Stack Control'!$H$49</definedName>
    <definedName function="false" hidden="false" name="DY_Mtg_UW" vbProcedure="false">'Cap Stack Control'!$H$48</definedName>
    <definedName function="false" hidden="false" name="DY_Tot_NCF_UW" vbProcedure="false">'Cap Stack Control'!$K$49</definedName>
    <definedName function="false" hidden="false" name="DY_Tot_UW" vbProcedure="false">'Cap Stack Control'!$K$48</definedName>
    <definedName function="false" hidden="false" name="EconOcc_2024" vbProcedure="false">Occupancy!$C$7:$C$29</definedName>
    <definedName function="false" hidden="false" name="EconOcc_2025" vbProcedure="false">Occupancy!$D$7:$D$29</definedName>
    <definedName function="false" hidden="false" name="EconOcc_T1" vbProcedure="false">Occupancy!$H$7:$H$29</definedName>
    <definedName function="false" hidden="false" name="EconOcc_T3" vbProcedure="false">Occupancy!$G$7:$G$29</definedName>
    <definedName function="false" hidden="false" name="EconOcc_T6" vbProcedure="false">Occupancy!$F$7:$F$29</definedName>
    <definedName function="false" hidden="false" name="EconOcc_TTM" vbProcedure="false">Occupancy!$E$7:$E$29</definedName>
    <definedName function="false" hidden="false" name="EconOcc_TTM_Wtd" vbProcedure="false">Occupancy!$E$30</definedName>
    <definedName function="false" hidden="false" name="EconOcc_UW" vbProcedure="false">Occupancy!$I$7:$I$29</definedName>
    <definedName function="false" hidden="false" name="EconOcc_UW_Wtd" vbProcedure="false">Occupancy!$I$30</definedName>
    <definedName function="false" hidden="false" name="FPA_Pct" vbProcedure="false">'Adverse Selection'!$E$7</definedName>
    <definedName function="false" hidden="false" name="IG_Detach" vbProcedure="false">'Cap Stack Control'!$J$20</definedName>
    <definedName function="false" hidden="false" name="LTV_Mtg_Appr" vbProcedure="false">'Cap Stack Control'!$G$52</definedName>
    <definedName function="false" hidden="false" name="LTV_Tot_Appr" vbProcedure="false">'Cap Stack Control'!$J$52</definedName>
    <definedName function="false" hidden="false" name="Mezz_Bal" vbProcedure="false">Tape!$O$29</definedName>
    <definedName function="false" hidden="false" name="Mezz_FutureFunding" vbProcedure="false">Tape!$Q$29</definedName>
    <definedName function="false" hidden="false" name="Mezz_Interest" vbProcedure="false">'Cap Stack Control'!$J$41</definedName>
    <definedName function="false" hidden="false" name="Mezz_Rate" vbProcedure="false">'Cap Stack Control'!$H$7</definedName>
    <definedName function="false" hidden="false" name="Mortgage_Bal" vbProcedure="false">Tape!$N$29</definedName>
    <definedName function="false" hidden="false" name="Mortgage_Total" vbProcedure="false">'Cap Stack Control'!$H$24</definedName>
    <definedName function="false" hidden="false" name="Mortgage_WA_DM" vbProcedure="false">'Cap Stack Control'!$R$24</definedName>
    <definedName function="false" hidden="false" name="Mortgage_WA_Spread" vbProcedure="false">'Cap Stack Control'!$H$40</definedName>
    <definedName function="false" hidden="false" name="Mtg_Interest" vbProcedure="false">'Cap Stack Control'!$J$40</definedName>
    <definedName function="false" hidden="false" name="Mtg_SpreadInt" vbProcedure="false">'Cap Stack Control'!$J$43</definedName>
    <definedName function="false" hidden="false" name="PhysOcc_2024" vbProcedure="false">Occupancy!$C$35:$C$57</definedName>
    <definedName function="false" hidden="false" name="PhysOcc_2025" vbProcedure="false">Occupancy!$D$35:$D$57</definedName>
    <definedName function="false" hidden="false" name="PhysOcc_T1" vbProcedure="false">Occupancy!$H$35:$H$57</definedName>
    <definedName function="false" hidden="false" name="PhysOcc_T3" vbProcedure="false">Occupancy!$G$35:$G$57</definedName>
    <definedName function="false" hidden="false" name="PhysOcc_T6" vbProcedure="false">Occupancy!$F$35:$F$57</definedName>
    <definedName function="false" hidden="false" name="PhysOcc_TTM" vbProcedure="false">Occupancy!$E$35:$E$57</definedName>
    <definedName function="false" hidden="false" name="PhysOcc_UW" vbProcedure="false">Occupancy!$I$35:$I$57</definedName>
    <definedName function="false" hidden="false" name="PhysOcc_UW_Wtd" vbProcedure="false">Occupancy!$I$58</definedName>
    <definedName function="false" hidden="false" name="PO_ALA_AZ" vbProcedure="false">'Portfolio Overview'!$M$36</definedName>
    <definedName function="false" hidden="false" name="PO_ALA_NC" vbProcedure="false">'Portfolio Overview'!$M$37</definedName>
    <definedName function="false" hidden="false" name="PO_ALA_TX" vbProcedure="false">'Portfolio Overview'!$M$35</definedName>
    <definedName function="false" hidden="false" name="PO_AvgRent" vbProcedure="false">'Portfolio Overview'!$N$29</definedName>
    <definedName function="false" hidden="false" name="PO_Occ" vbProcedure="false">'Portfolio Overview'!$H$29</definedName>
    <definedName function="false" hidden="false" name="PO_OccUnits" vbProcedure="false">'Portfolio Overview'!$R$29</definedName>
    <definedName function="false" hidden="false" name="PO_PSF" vbProcedure="false">'Portfolio Overview'!$O$29</definedName>
    <definedName function="false" hidden="false" name="PO_Rent_AZ" vbProcedure="false">'Portfolio Overview'!$I$36</definedName>
    <definedName function="false" hidden="false" name="PO_Rent_CLT" vbProcedure="false">'Portfolio Overview'!$I$45</definedName>
    <definedName function="false" hidden="false" name="PO_Rent_DFW" vbProcedure="false">'Portfolio Overview'!$I$42</definedName>
    <definedName function="false" hidden="false" name="PO_Rent_GSO" vbProcedure="false">'Portfolio Overview'!$I$44</definedName>
    <definedName function="false" hidden="false" name="PO_Rent_NC" vbProcedure="false">'Portfolio Overview'!$I$37</definedName>
    <definedName function="false" hidden="false" name="PO_Rent_PHX" vbProcedure="false">'Portfolio Overview'!$I$43</definedName>
    <definedName function="false" hidden="false" name="PO_Rent_TX" vbProcedure="false">'Portfolio Overview'!$I$35</definedName>
    <definedName function="false" hidden="false" name="PO_Units_AZ" vbProcedure="false">'Portfolio Overview'!$E$36</definedName>
    <definedName function="false" hidden="false" name="PO_Units_NC" vbProcedure="false">'Portfolio Overview'!$E$37</definedName>
    <definedName function="false" hidden="false" name="PO_Units_TX" vbProcedure="false">'Portfolio Overview'!$E$35</definedName>
    <definedName function="false" hidden="false" name="Rel_CapPct" vbProcedure="false">'Adverse Selection'!$E$6</definedName>
    <definedName function="false" hidden="false" name="Rel_Tier1" vbProcedure="false">'Adverse Selection'!$E$4</definedName>
    <definedName function="false" hidden="false" name="Rel_Tier2" vbProcedure="false">'Adverse Selection'!$E$5</definedName>
    <definedName function="false" hidden="false" name="Rollup_EconOcc_TTM" vbProcedure="false">Rollup!$F$35</definedName>
    <definedName function="false" hidden="false" name="Rollup_EconOcc_UW" vbProcedure="false">Rollup!$K$35</definedName>
    <definedName function="false" hidden="false" name="Rollup_EGI_TTM" vbProcedure="false">Rollup!$F$19</definedName>
    <definedName function="false" hidden="false" name="Rollup_EGI_UW" vbProcedure="false">Rollup!$K$19</definedName>
    <definedName function="false" hidden="false" name="Rollup_NCF_TTM" vbProcedure="false">Rollup!$F$32</definedName>
    <definedName function="false" hidden="false" name="Rollup_NCF_UW" vbProcedure="false">Rollup!$K$32</definedName>
    <definedName function="false" hidden="false" name="Rollup_NOI_24" vbProcedure="false">Rollup!$D$30</definedName>
    <definedName function="false" hidden="false" name="Rollup_NOI_25" vbProcedure="false">Rollup!$E$30</definedName>
    <definedName function="false" hidden="false" name="Rollup_NOI_TTM" vbProcedure="false">Rollup!$F$30</definedName>
    <definedName function="false" hidden="false" name="Rollup_NOI_UW" vbProcedure="false">Rollup!$K$30</definedName>
    <definedName function="false" hidden="false" name="Rollup_Opex_TTM" vbProcedure="false">Rollup!$F$29</definedName>
    <definedName function="false" hidden="false" name="Rollup_Opex_UW" vbProcedure="false">Rollup!$K$29</definedName>
    <definedName function="false" hidden="false" name="Scenario_Sel" vbProcedure="false">'Adverse Selection'!$E$9</definedName>
    <definedName function="false" hidden="false" name="SOFR_Assumed" vbProcedure="false">'Cap Stack Control'!$H$4</definedName>
    <definedName function="false" hidden="false" name="SOFR_Index" vbProcedure="false">'Cap Stack Control'!$H$6</definedName>
    <definedName function="false" hidden="false" name="SOFR_Strike" vbProcedure="false">'Cap Stack Control'!$H$5</definedName>
    <definedName function="false" hidden="false" name="Sponsor_Cost_Basis" vbProcedure="false">Tape!$H$36</definedName>
    <definedName function="false" hidden="false" name="SSP_Asset" vbProcedure="false">'SSP UW Summary'!$D$7:$D$29</definedName>
    <definedName function="false" hidden="false" name="SSP_CapAdj" vbProcedure="false">'UW Drivers'!$P$15:$P$37</definedName>
    <definedName function="false" hidden="false" name="SSP_CapPrem" vbProcedure="false">'UW Drivers'!$F$5</definedName>
    <definedName function="false" hidden="false" name="SSP_CapRate" vbProcedure="false">'UW Drivers'!$R$15:$R$37</definedName>
    <definedName function="false" hidden="false" name="SSP_EconOcc" vbProcedure="false">'UW Drivers'!$M$15:$M$37</definedName>
    <definedName function="false" hidden="false" name="SSP_EGIAdj" vbProcedure="false">'UW Drivers'!$N$15:$N$37</definedName>
    <definedName function="false" hidden="false" name="SSP_EGI_Total" vbProcedure="false">'SSP UW Summary'!$M$30</definedName>
    <definedName function="false" hidden="false" name="SSP_MgmtEmbedded" vbProcedure="false">'UW Drivers'!$F$7</definedName>
    <definedName function="false" hidden="false" name="SSP_MgmtFloor" vbProcedure="false">'UW Drivers'!$F$6</definedName>
    <definedName function="false" hidden="false" name="SSP_NCF_Total" vbProcedure="false">'SSP UW Summary'!$V$30</definedName>
    <definedName function="false" hidden="false" name="SSP_NOI_Rng" vbProcedure="false">'SSP UW Summary'!$S$7:$S$29</definedName>
    <definedName function="false" hidden="false" name="SSP_NOI_Total" vbProcedure="false">'SSP UW Summary'!$S$30</definedName>
    <definedName function="false" hidden="false" name="SSP_NOI_UW_Rng" vbProcedure="false">'SSP UW Summary'!$W$7:$W$29</definedName>
    <definedName function="false" hidden="false" name="SSP_OccAdj" vbProcedure="false">'UW Drivers'!$L$15:$L$37</definedName>
    <definedName function="false" hidden="false" name="SSP_OpexAdj" vbProcedure="false">'UW Drivers'!$O$15:$O$37</definedName>
    <definedName function="false" hidden="false" name="SSP_Opex_Total" vbProcedure="false">'SSP UW Summary'!$R$30</definedName>
    <definedName function="false" hidden="false" name="SSP_ReservePU" vbProcedure="false">'UW Drivers'!$F$8</definedName>
    <definedName function="false" hidden="false" name="SSP_Res_Total" vbProcedure="false">'SSP UW Summary'!$U$30</definedName>
    <definedName function="false" hidden="false" name="SSP_Value_Rng" vbProcedure="false">'SSP UW Summary'!$I$37:$I$59</definedName>
    <definedName function="false" hidden="false" name="SSP_Value_Total" vbProcedure="false">'SSP UW Summary'!$I$60</definedName>
    <definedName function="false" hidden="false" name="SU_EquityRemaining" vbProcedure="false">'S&amp;U'!$D$15</definedName>
    <definedName function="false" hidden="false" name="SU_TotalSources" vbProcedure="false">'S&amp;U'!$D$9</definedName>
    <definedName function="false" hidden="false" name="SU_TotalUses" vbProcedure="false">'S&amp;U'!$I$9</definedName>
    <definedName function="false" hidden="false" name="Tape_AcqDate" vbProcedure="false">Tape!$M$6:$M$28</definedName>
    <definedName function="false" hidden="false" name="Tape_ALA" vbProcedure="false">Tape!$P$6:$P$28</definedName>
    <definedName function="false" hidden="false" name="Tape_ApprCap" vbProcedure="false">Tape!$T$6:$T$28</definedName>
    <definedName function="false" hidden="false" name="Tape_ApprValue" vbProcedure="false">Tape!$R$6:$R$28</definedName>
    <definedName function="false" hidden="false" name="Tape_City" vbProcedure="false">Tape!$C$6:$C$28</definedName>
    <definedName function="false" hidden="false" name="Tape_EGI24" vbProcedure="false">Tape!$U$6:$U$28</definedName>
    <definedName function="false" hidden="false" name="Tape_EGI25" vbProcedure="false">Tape!$X$6:$X$28</definedName>
    <definedName function="false" hidden="false" name="Tape_EGI_TTM" vbProcedure="false">Tape!$AA$6:$AA$28</definedName>
    <definedName function="false" hidden="false" name="Tape_EGI_UW" vbProcedure="false">Tape!$AD$6:$AD$28</definedName>
    <definedName function="false" hidden="false" name="Tape_GovtUnits" vbProcedure="false">Tape!$K$6:$K$28</definedName>
    <definedName function="false" hidden="false" name="Tape_GPR_UW" vbProcedure="false">Tape!$AE$6:$AE$28</definedName>
    <definedName function="false" hidden="false" name="Tape_ID" vbProcedure="false">Tape!$A$6:$A$28</definedName>
    <definedName function="false" hidden="false" name="Tape_Market" vbProcedure="false">Tape!$E$6:$E$28</definedName>
    <definedName function="false" hidden="false" name="Tape_MezzBal" vbProcedure="false">Tape!$O$6:$O$28</definedName>
    <definedName function="false" hidden="false" name="Tape_MezzFF" vbProcedure="false">Tape!$Q$6:$Q$28</definedName>
    <definedName function="false" hidden="false" name="Tape_Mgr" vbProcedure="false">Tape!$L$6:$L$28</definedName>
    <definedName function="false" hidden="false" name="Tape_MtgBal" vbProcedure="false">Tape!$N$6:$N$28</definedName>
    <definedName function="false" hidden="false" name="Tape_NCF_UW" vbProcedure="false">Tape!$AI$6:$AI$28</definedName>
    <definedName function="false" hidden="false" name="Tape_NCF_UW_Total" vbProcedure="false">Tape!$AI$29</definedName>
    <definedName function="false" hidden="false" name="Tape_NOI24" vbProcedure="false">Tape!$W$6:$W$28</definedName>
    <definedName function="false" hidden="false" name="Tape_NOI25" vbProcedure="false">Tape!$Z$6:$Z$28</definedName>
    <definedName function="false" hidden="false" name="Tape_NOI_TTM" vbProcedure="false">Tape!$AC$6:$AC$28</definedName>
    <definedName function="false" hidden="false" name="Tape_NOI_TTM_Total" vbProcedure="false">Tape!$AC$29</definedName>
    <definedName function="false" hidden="false" name="Tape_NOI_UW" vbProcedure="false">Tape!$AG$6:$AG$28</definedName>
    <definedName function="false" hidden="false" name="Tape_NOI_UW_Total" vbProcedure="false">Tape!$AG$29</definedName>
    <definedName function="false" hidden="false" name="Tape_Occ" vbProcedure="false">Tape!$J$6:$J$28</definedName>
    <definedName function="false" hidden="false" name="Tape_Opex24" vbProcedure="false">Tape!$V$6:$V$28</definedName>
    <definedName function="false" hidden="false" name="Tape_Opex25" vbProcedure="false">Tape!$Y$6:$Y$28</definedName>
    <definedName function="false" hidden="false" name="Tape_Opex_TTM" vbProcedure="false">Tape!$AB$6:$AB$28</definedName>
    <definedName function="false" hidden="false" name="Tape_Opex_UW" vbProcedure="false">Tape!$AF$6:$AF$28</definedName>
    <definedName function="false" hidden="false" name="Tape_Property" vbProcedure="false">Tape!$B$6:$B$28</definedName>
    <definedName function="false" hidden="false" name="Tape_Res_UW" vbProcedure="false">Tape!$AH$6:$AH$28</definedName>
    <definedName function="false" hidden="false" name="Tape_SF" vbProcedure="false">Tape!$I$6:$I$28</definedName>
    <definedName function="false" hidden="false" name="Tape_State" vbProcedure="false">Tape!$D$6:$D$28</definedName>
    <definedName function="false" hidden="false" name="Tape_Units" vbProcedure="false">Tape!$H$6:$H$28</definedName>
    <definedName function="false" hidden="false" name="Tape_YearBuilt" vbProcedure="false">Tape!$F$6:$F$28</definedName>
    <definedName function="false" hidden="false" name="Tape_YearReno" vbProcedure="false">Tape!$G$6:$G$28</definedName>
    <definedName function="false" hidden="false" name="TotalDebt_Interest" vbProcedure="false">'Cap Stack Control'!$J$42</definedName>
    <definedName function="false" hidden="false" name="TotalDebt_Total" vbProcedure="false">'Cap Stack Control'!$J$25</definedName>
    <definedName function="false" hidden="false" name="Total_Debt_ALA" vbProcedure="false">Tape!$P$29</definedName>
    <definedName function="false" hidden="false" name="Total_Units" vbProcedure="false">Tape!$H$29</definedName>
    <definedName function="false" hidden="false" name="Trig_DY_Agg" vbProcedure="false">'Cap Stack Control'!$G$59</definedName>
    <definedName function="false" hidden="false" name="Trig_DY_Mtg" vbProcedure="false">'Cap Stack Control'!$G$58</definedName>
    <definedName function="false" hidden="false" name="UWD_Asset" vbProcedure="false">'UW Drivers'!$D$15:$D$37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<sst xmlns="http://schemas.openxmlformats.org/spreadsheetml/2006/main" count="875" uniqueCount="601">
  <si>
    <t xml:space="preserve">RISE 2026-MF SSP MODEL V1: NOTES AND LEGEND</t>
  </si>
  <si>
    <t xml:space="preserve">Purpose</t>
  </si>
  <si>
    <t xml:space="preserve">SSP underwriting model for the RISE 2026-MF multifamily SASB: a $548.5M floating rate, interest only mortgage loan held in the Trust plus a $50.0M mezzanine loan outside the Trust, secured by 23 garden style properties with 4,848 units in Dallas Fort Worth, Phoenix, Greensboro and Charlotte.</t>
  </si>
  <si>
    <t xml:space="preserve">Architecture follows the Arlo Portfolio and AHPT 2026 ATRM models: Cap Stack Control, S&amp;U, UW Drivers, SSP UW Summary, Rollup and Adverse Selection, with a Sensitivity tab, Portfolio Overview and a Checks tab that ties to the Term Sheet.</t>
  </si>
  <si>
    <t xml:space="preserve">Tab Guide</t>
  </si>
  <si>
    <t xml:space="preserve">Cap Stack Control: class sizing, DM and coupon, credit statistics, debt service and cash sweep trigger cushions. SSP Hold inputs sit in the stack table.</t>
  </si>
  <si>
    <t xml:space="preserve">S&amp;U: Term Sheet sources and uses plus sponsor basis and implied equity memo.</t>
  </si>
  <si>
    <t xml:space="preserve">UW Drivers: global SSP assumptions and asset level adjustments. All adjustments default to zero.</t>
  </si>
  <si>
    <t xml:space="preserve">SSP UW Summary: asset level NOI build, cap rate, value and leverage, plus detachment LTV by value basis.</t>
  </si>
  <si>
    <t xml:space="preserve">Rollup: portfolio P&amp;L for 2024, 2025, TTM, T6, T3, T1, Sponsor budget, Lender UW and SSP in place, with an NOI bridge.</t>
  </si>
  <si>
    <t xml:space="preserve">Adverse Selection: six release scenarios under the 110% and 115% release prices, with the debt yield release test and a class by class waterfall (pro rata up to the Free Prepayment Amount, then sequential).</t>
  </si>
  <si>
    <t xml:space="preserve">Sensitivity: SSP LTV by cap rate premium and NOI haircut, DSCR by Term SOFR and NOI haircut, and debt yield versus cash sweep triggers.</t>
  </si>
  <si>
    <t xml:space="preserve">Portfolio Overview, Occupancy, Capex and Tape: source data and stratifications tied to Term Sheet pages 34 to 39.</t>
  </si>
  <si>
    <t xml:space="preserve">Color Legend</t>
  </si>
  <si>
    <t xml:space="preserve">Blue font: hardcoded input. Green font: link to another sheet or named range. Black font: calculation on the sheet.</t>
  </si>
  <si>
    <t xml:space="preserve">Fills: navy for headers and total rows, light blue for base case and accent cells, light gray for row banding, light red for unfavorable cells and light green for favorable cells.</t>
  </si>
  <si>
    <t xml:space="preserve">SSP Underwriting Method</t>
  </si>
  <si>
    <t xml:space="preserve">SSP EGI starts from TTM Aug 2026 EGI by asset. Occupancy adjustment equals (SSP economic occupancy less TTM economic occupancy) times underwritten base rent. A revenue adjustment percentage can then be applied.</t>
  </si>
  <si>
    <t xml:space="preserve">SSP expenses equal the greater of TTM and Lender UW expenses by asset, scaled by an expense adjustment, plus a management fee top up to the SSP fee floor. Reserves are set per unit.</t>
  </si>
  <si>
    <t xml:space="preserve">SSP value equals SSP NOI divided by the appraisal cap rate plus the SSP cap rate premium, rounded to $10,000 by asset. Total debt LTV uses ALA from the Annex.</t>
  </si>
  <si>
    <t xml:space="preserve">Placeholders and Assumptions to Confirm</t>
  </si>
  <si>
    <t xml:space="preserve">Class sizes and DMs are SSP placeholders because Term Sheet page 16 leaves balances, pass through rates and credit support blank. DMs are set so the weighted average component spread is close to the 2.50% Term Sheet assumption.</t>
  </si>
  <si>
    <t xml:space="preserve">SSP Hold is blank by design. Enter the dollar amount by class in Cap Stack Control column U to populate percent of class and blended DM.</t>
  </si>
  <si>
    <t xml:space="preserve">Term SOFR is set to the 3.25% strike used by the Term Sheet for DSCR. Replace with the forward curve to view floating rate exposure.</t>
  </si>
  <si>
    <t xml:space="preserve">The SSP cap rate premium (default 0.00%), management fee floor of 3.00% of EGI and reserves of $300 per unit are SSP assumptions for discussion. The Lender underwrites a 2.00% fee and $260 per unit.</t>
  </si>
  <si>
    <t xml:space="preserve">Release mechanics apply the 110% and 115% prices to ALA on a total debt basis with the payment split pro rata between the mortgage and mezzanine loans. The 20% Tier 1 cap is measured against the original mortgage balance. Confirm against the Mortgage Loan Agreement.</t>
  </si>
  <si>
    <t xml:space="preserve">The $759.0M As Portfolio appraised value includes a portfolio premium of about 2.8% over the $738.2M sum of As Is values. Cap Stack Control uses the portfolio value, and SSP UW Summary shows LTV on all three bases.</t>
  </si>
  <si>
    <t xml:space="preserve">Data Observations from the Source Materials</t>
  </si>
  <si>
    <t xml:space="preserve">Concessions rise from $3.4M in 2024 to $4.4M in 2025, $6.0M TTM and $9.5M in T1, versus $6.1M underwritten. Other income rises from $8.7M in 2024 to $14.6M underwritten at T3.</t>
  </si>
  <si>
    <t xml:space="preserve">T1 real estate taxes of $2.0M compare with $8.6M underwritten, so T1 NOI of $43.5M is not a clean run rate.</t>
  </si>
  <si>
    <t xml:space="preserve">Lender UW NOI of $41.2M is above TTM NOI of $37.6M, and the Sponsor Year 1 Budget NOI is $49.0M.</t>
  </si>
  <si>
    <t xml:space="preserve">Rise Bridgeview was acquired in December 2024 and its 2024 financials are not meaningful. Rise Lakeside TTM economic occupancy is 78.8%.</t>
  </si>
  <si>
    <t xml:space="preserve">Rise North Arlington (appraised at $32.8M against ALA of $18.0M) and Rise Lakeside ($45.3M against $30.0M) carry the widest appraised value to ALA gaps in the Annex.</t>
  </si>
  <si>
    <t xml:space="preserve">Sources</t>
  </si>
  <si>
    <t xml:space="preserve">RISE 2026-MF Premarketing Structural and Collateral Term Sheet (Nomura, October 2026), Annex A (Premarketing), AHPT 2026 ATRM SSP Model v13, Arlo Portfolio SSP Model v1 and Hersha Hotel SASB v12 for model structure.</t>
  </si>
  <si>
    <t xml:space="preserve">Deal / Property Info</t>
  </si>
  <si>
    <t xml:space="preserve">Rate Assumptions</t>
  </si>
  <si>
    <t xml:space="preserve">Input</t>
  </si>
  <si>
    <t xml:space="preserve">Deal Name</t>
  </si>
  <si>
    <t xml:space="preserve">RISE 2026-MF</t>
  </si>
  <si>
    <t xml:space="preserve">Term SOFR (assumed)</t>
  </si>
  <si>
    <t xml:space="preserve">Units</t>
  </si>
  <si>
    <t xml:space="preserve">SOFR Cap Strike (initial term)</t>
  </si>
  <si>
    <t xml:space="preserve">TTM Aug-26 NOI</t>
  </si>
  <si>
    <t xml:space="preserve">Index Applied (lesser of SOFR and strike)</t>
  </si>
  <si>
    <t xml:space="preserve">Lender UW NOI</t>
  </si>
  <si>
    <t xml:space="preserve">Mezzanine Fixed Rate</t>
  </si>
  <si>
    <t xml:space="preserve">Lender UW NCF</t>
  </si>
  <si>
    <t xml:space="preserve">Days in Year</t>
  </si>
  <si>
    <t xml:space="preserve">SSP IP NOI</t>
  </si>
  <si>
    <t xml:space="preserve">Accrual Basis (Actual / 360)</t>
  </si>
  <si>
    <t xml:space="preserve">SSP IP NCF</t>
  </si>
  <si>
    <t xml:space="preserve">Accrual Factor</t>
  </si>
  <si>
    <t xml:space="preserve">Est. Appraised Value (As Portfolio)</t>
  </si>
  <si>
    <t xml:space="preserve">SOFR and strike per Term Sheet page 10 footnote 4 (DSCR basis). Class sizes, DMs and SSP holds are placeholders pending pricing and are shown in blue.</t>
  </si>
  <si>
    <t xml:space="preserve">SSP IP Value</t>
  </si>
  <si>
    <t xml:space="preserve">Model Checks</t>
  </si>
  <si>
    <t xml:space="preserve">Class</t>
  </si>
  <si>
    <t xml:space="preserve">Moody's</t>
  </si>
  <si>
    <t xml:space="preserve">Size ($)</t>
  </si>
  <si>
    <t xml:space="preserve">% of Mortgage</t>
  </si>
  <si>
    <t xml:space="preserve">Cum. ($)</t>
  </si>
  <si>
    <t xml:space="preserve">% CE</t>
  </si>
  <si>
    <t xml:space="preserve">Cum. $ / Unit</t>
  </si>
  <si>
    <t xml:space="preserve">TTM DY</t>
  </si>
  <si>
    <t xml:space="preserve">Lender UW DY</t>
  </si>
  <si>
    <t xml:space="preserve">SSP IP DY</t>
  </si>
  <si>
    <t xml:space="preserve">Est. Appraised LTV</t>
  </si>
  <si>
    <t xml:space="preserve">SSP IP LTV</t>
  </si>
  <si>
    <t xml:space="preserve">DM (bps)</t>
  </si>
  <si>
    <t xml:space="preserve">Cum. DM</t>
  </si>
  <si>
    <t xml:space="preserve">Coupon (SOFR + DM)</t>
  </si>
  <si>
    <t xml:space="preserve">SSP Hold ($)</t>
  </si>
  <si>
    <t xml:space="preserve">% of Class</t>
  </si>
  <si>
    <t xml:space="preserve">SSP Blended DM</t>
  </si>
  <si>
    <t xml:space="preserve">A</t>
  </si>
  <si>
    <t xml:space="preserve">Aaa(sf)</t>
  </si>
  <si>
    <t xml:space="preserve">B</t>
  </si>
  <si>
    <t xml:space="preserve">Aa3(sf)</t>
  </si>
  <si>
    <t xml:space="preserve">C</t>
  </si>
  <si>
    <t xml:space="preserve">A3(sf)</t>
  </si>
  <si>
    <t xml:space="preserve">D</t>
  </si>
  <si>
    <t xml:space="preserve">Baa3(sf)</t>
  </si>
  <si>
    <t xml:space="preserve">E</t>
  </si>
  <si>
    <t xml:space="preserve">Ba3(sf)</t>
  </si>
  <si>
    <t xml:space="preserve">F</t>
  </si>
  <si>
    <t xml:space="preserve">B3(sf)</t>
  </si>
  <si>
    <t xml:space="preserve">HRR</t>
  </si>
  <si>
    <t xml:space="preserve">NR</t>
  </si>
  <si>
    <t xml:space="preserve">-</t>
  </si>
  <si>
    <t xml:space="preserve">Total Mortgage Loan (Trust)</t>
  </si>
  <si>
    <t xml:space="preserve">Mezzanine Loan (outside Trust)</t>
  </si>
  <si>
    <t xml:space="preserve">Implied Equity (Est. Appraised)</t>
  </si>
  <si>
    <t xml:space="preserve">Implied Equity (SSP IP Value)</t>
  </si>
  <si>
    <t xml:space="preserve">Cumulative metrics on rows A through HRR are measured on the mortgage loan only. The Mezzanine row shows total debt including the $50.0M mezzanine loan held outside the Trust.</t>
  </si>
  <si>
    <t xml:space="preserve">Debt Service Calculations</t>
  </si>
  <si>
    <t xml:space="preserve">Spread</t>
  </si>
  <si>
    <t xml:space="preserve">Index</t>
  </si>
  <si>
    <t xml:space="preserve">Interest ($)</t>
  </si>
  <si>
    <t xml:space="preserve">Total Mortgage Loan</t>
  </si>
  <si>
    <t xml:space="preserve">Mezzanine Loan</t>
  </si>
  <si>
    <t xml:space="preserve">Total Debt</t>
  </si>
  <si>
    <t xml:space="preserve">Spread Interest at Zero Index (Mortgage)</t>
  </si>
  <si>
    <t xml:space="preserve">Credit Statistics</t>
  </si>
  <si>
    <t xml:space="preserve">Metric</t>
  </si>
  <si>
    <t xml:space="preserve">Mortgage Loan
TTM</t>
  </si>
  <si>
    <t xml:space="preserve">Mortgage Loan
Lender UW</t>
  </si>
  <si>
    <t xml:space="preserve">Mortgage Loan
SSP IP</t>
  </si>
  <si>
    <t xml:space="preserve">Total Debt
TTM</t>
  </si>
  <si>
    <t xml:space="preserve">Total Debt
Lender UW</t>
  </si>
  <si>
    <t xml:space="preserve">Total Debt
SSP IP</t>
  </si>
  <si>
    <t xml:space="preserve">Debt Yield (NOI)</t>
  </si>
  <si>
    <t xml:space="preserve">Debt Yield (NCF)</t>
  </si>
  <si>
    <t xml:space="preserve">DSCR (NOI)</t>
  </si>
  <si>
    <t xml:space="preserve">DSCR (NCF)</t>
  </si>
  <si>
    <t xml:space="preserve">LTV (Est. Appraised)</t>
  </si>
  <si>
    <t xml:space="preserve">LTV (SSP IP Value)</t>
  </si>
  <si>
    <t xml:space="preserve">Debt / Unit</t>
  </si>
  <si>
    <t xml:space="preserve">Cash Sweep Triggers (Term Sheet page 13)</t>
  </si>
  <si>
    <t xml:space="preserve">Test</t>
  </si>
  <si>
    <t xml:space="preserve">Trigger</t>
  </si>
  <si>
    <t xml:space="preserve">TTM</t>
  </si>
  <si>
    <t xml:space="preserve">Lender UW</t>
  </si>
  <si>
    <t xml:space="preserve">SSP IP</t>
  </si>
  <si>
    <t xml:space="preserve">Debt Yield (Mortgage)</t>
  </si>
  <si>
    <t xml:space="preserve">Debt Yield (Aggregate)</t>
  </si>
  <si>
    <t xml:space="preserve">NOI Cushion to Mortgage Trigger</t>
  </si>
  <si>
    <t xml:space="preserve">NOI Cushion to Aggregate Trigger</t>
  </si>
  <si>
    <t xml:space="preserve">Mortgage Trigger Status</t>
  </si>
  <si>
    <t xml:space="preserve">Aggregate Trigger Status</t>
  </si>
  <si>
    <t xml:space="preserve">Sweep Event Period also requires two consecutive calendar quarters below trigger. Tests here are point in time.</t>
  </si>
  <si>
    <t xml:space="preserve">SOURCES AND USES</t>
  </si>
  <si>
    <t xml:space="preserve">Term Sheet page 10. Equity contribution and uses are Term Sheet figures. Debt sources link to the capital stack.</t>
  </si>
  <si>
    <t xml:space="preserve">$</t>
  </si>
  <si>
    <t xml:space="preserve">$ / Unit</t>
  </si>
  <si>
    <t xml:space="preserve">%</t>
  </si>
  <si>
    <t xml:space="preserve">Uses</t>
  </si>
  <si>
    <t xml:space="preserve">Mortgage Loan</t>
  </si>
  <si>
    <t xml:space="preserve">Refinance Existing Debt</t>
  </si>
  <si>
    <t xml:space="preserve">Estimated Closing Costs</t>
  </si>
  <si>
    <t xml:space="preserve">Sponsor Equity (Rise48)</t>
  </si>
  <si>
    <t xml:space="preserve">Total Sources</t>
  </si>
  <si>
    <t xml:space="preserve">Total Uses</t>
  </si>
  <si>
    <t xml:space="preserve">Memo: Sponsor Basis and Equity</t>
  </si>
  <si>
    <t xml:space="preserve">Reported Sponsor Cost Basis</t>
  </si>
  <si>
    <t xml:space="preserve">Implied Sponsor Cash Equity Remaining</t>
  </si>
  <si>
    <t xml:space="preserve">Total Debt / Cost Basis</t>
  </si>
  <si>
    <t xml:space="preserve">Implied Equity at Appraised Value</t>
  </si>
  <si>
    <t xml:space="preserve">Implied Equity at SSP IP Value</t>
  </si>
  <si>
    <t xml:space="preserve">Total Debt / SSP IP Value</t>
  </si>
  <si>
    <t xml:space="preserve">SSP UNDERWRITING DRIVERS</t>
  </si>
  <si>
    <t xml:space="preserve">Blue cells are inputs. Every asset level adjustment below defaults to zero so the base case equals TTM EGI, the greater of TTM and Lender UW expenses, a management fee floor and SSP reserves.</t>
  </si>
  <si>
    <t xml:space="preserve">Global SSP Assumptions</t>
  </si>
  <si>
    <t xml:space="preserve">Basis</t>
  </si>
  <si>
    <t xml:space="preserve">Cap Rate Premium over Appraisal Cap Rate</t>
  </si>
  <si>
    <t xml:space="preserve">SSP lever: added to each asset appraisal cap rate. The 0.00% default capitalizes SSP NOI at the appraiser cap rates. See Sensitivity for +25 to +100 bps.</t>
  </si>
  <si>
    <t xml:space="preserve">Management Fee Floor (% of EGI)</t>
  </si>
  <si>
    <t xml:space="preserve">SSP assumption: third party replacement management fee. Rise48 Communities is an affiliate of the Borrower Sponsor.</t>
  </si>
  <si>
    <t xml:space="preserve">Management Fee Embedded in TTM and Lender UW (% of EGI)</t>
  </si>
  <si>
    <t xml:space="preserve">Term Sheet page 56 footnote 7: 2.0% of EGI normalized across the historical and budget financials.</t>
  </si>
  <si>
    <t xml:space="preserve">Replacement Reserves ($ / Unit)</t>
  </si>
  <si>
    <t xml:space="preserve">SSP assumption versus $260 per unit underwritten by the Lender (Term Sheet page 56 footnote 11).</t>
  </si>
  <si>
    <t xml:space="preserve">SSP EGI equals TTM EGI plus (SSP less TTM economic occupancy) times UW base rent, then scaled by the revenue adjustment. SSP expenses equal the greater of TTM and Lender UW per asset, scaled by the expense adjustment, plus a management fee top up.</t>
  </si>
  <si>
    <t xml:space="preserve">No.</t>
  </si>
  <si>
    <t xml:space="preserve">Asset</t>
  </si>
  <si>
    <t xml:space="preserve">Market</t>
  </si>
  <si>
    <t xml:space="preserve">In Place Occ. (9/1/26)</t>
  </si>
  <si>
    <t xml:space="preserve">Econ. Occ. 2025</t>
  </si>
  <si>
    <t xml:space="preserve">Econ. Occ. TTM</t>
  </si>
  <si>
    <t xml:space="preserve">Econ. Occ. T-3</t>
  </si>
  <si>
    <t xml:space="preserve">Lender UW Econ. Occ.</t>
  </si>
  <si>
    <t xml:space="preserve">Occ. Adj. (SSP)</t>
  </si>
  <si>
    <t xml:space="preserve">SSP Econ. Occ.</t>
  </si>
  <si>
    <t xml:space="preserve">Revenue Adj. (SSP)</t>
  </si>
  <si>
    <t xml:space="preserve">Expense Adj. (SSP)</t>
  </si>
  <si>
    <t xml:space="preserve">Cap Rate Adj. (SSP)</t>
  </si>
  <si>
    <t xml:space="preserve">Appraisal Cap Rate</t>
  </si>
  <si>
    <t xml:space="preserve">SSP Cap Rate</t>
  </si>
  <si>
    <t xml:space="preserve">Comments</t>
  </si>
  <si>
    <t xml:space="preserve">Largest ALA at 8.2%. UW economic occupancy of 89.1% versus 91.3% TTM.</t>
  </si>
  <si>
    <t xml:space="preserve">Acquired December 2024. 2024 financials are not meaningful. 1,047 SF average unit size is the largest in the portfolio.</t>
  </si>
  <si>
    <t xml:space="preserve">TTM economic occupancy of 78.8% in lease up after $4.8M of capex. Appraised value of $45.3M versus ALA of $30.0M.</t>
  </si>
  <si>
    <t xml:space="preserve">UW economic occupancy of 85.2% versus 90.2% TTM. Largest unit count outside Bedford Lake.</t>
  </si>
  <si>
    <t xml:space="preserve">42 government assisted units (18.8% of units). Section 8 cap is 25.0% at this property versus 15.0% elsewhere.</t>
  </si>
  <si>
    <t xml:space="preserve">Appraised value of $32.8M versus ALA of $18.0M. UW economic occupancy of 83.5% versus 85.7% TTM.</t>
  </si>
  <si>
    <t xml:space="preserve">Total / Wtd. Avg.</t>
  </si>
  <si>
    <t xml:space="preserve">Table 1: SSP In-Place NOI build by asset</t>
  </si>
  <si>
    <t xml:space="preserve">TTM Econ. Occ.</t>
  </si>
  <si>
    <t xml:space="preserve">UW Base Rent (GPR)</t>
  </si>
  <si>
    <t xml:space="preserve">TTM EGI</t>
  </si>
  <si>
    <t xml:space="preserve">Occupancy Adj.</t>
  </si>
  <si>
    <t xml:space="preserve">Revenue Adj.</t>
  </si>
  <si>
    <t xml:space="preserve">SSP EGI</t>
  </si>
  <si>
    <t xml:space="preserve">TTM Expenses</t>
  </si>
  <si>
    <t xml:space="preserve">Lender UW Expenses</t>
  </si>
  <si>
    <t xml:space="preserve">SSP Base Expenses</t>
  </si>
  <si>
    <t xml:space="preserve">Mgmt. Fee Top Up</t>
  </si>
  <si>
    <t xml:space="preserve">SSP Total Expenses</t>
  </si>
  <si>
    <t xml:space="preserve">SSP NOI</t>
  </si>
  <si>
    <t xml:space="preserve">NOI Margin</t>
  </si>
  <si>
    <t xml:space="preserve">SSP Reserves</t>
  </si>
  <si>
    <t xml:space="preserve">SSP NCF</t>
  </si>
  <si>
    <t xml:space="preserve">SSP vs Lender UW</t>
  </si>
  <si>
    <t xml:space="preserve">TTM NOI</t>
  </si>
  <si>
    <t xml:space="preserve">SSP vs TTM</t>
  </si>
  <si>
    <t xml:space="preserve">Table 2: SSP In-Place value and leverage by asset</t>
  </si>
  <si>
    <t xml:space="preserve">Value / Unit</t>
  </si>
  <si>
    <t xml:space="preserve">% of Value</t>
  </si>
  <si>
    <t xml:space="preserve">Appraised Value (As-Is)</t>
  </si>
  <si>
    <t xml:space="preserve">SSP vs Appraised</t>
  </si>
  <si>
    <t xml:space="preserve">Implied Cap on Lender UW NOI</t>
  </si>
  <si>
    <t xml:space="preserve">Mortgage Balance</t>
  </si>
  <si>
    <t xml:space="preserve">ALA (Total Debt)</t>
  </si>
  <si>
    <t xml:space="preserve">SSP LTV (Mortgage)</t>
  </si>
  <si>
    <t xml:space="preserve">SSP LTV (Total Debt)</t>
  </si>
  <si>
    <t xml:space="preserve">SSP DY (Mortgage)</t>
  </si>
  <si>
    <t xml:space="preserve">SSP DY (Total Debt)</t>
  </si>
  <si>
    <t xml:space="preserve">Lender UW DY (Total Debt)</t>
  </si>
  <si>
    <t xml:space="preserve">Detachment LTV by Value Basis</t>
  </si>
  <si>
    <t xml:space="preserve">Debt Level</t>
  </si>
  <si>
    <t xml:space="preserve">Debt ($)</t>
  </si>
  <si>
    <t xml:space="preserve">Appraised (As Portfolio)</t>
  </si>
  <si>
    <t xml:space="preserve">Appraised (Sum of As-Is)</t>
  </si>
  <si>
    <t xml:space="preserve">SSP In-Place Value</t>
  </si>
  <si>
    <t xml:space="preserve">Value ($)</t>
  </si>
  <si>
    <t xml:space="preserve">IG Detach (through Class D)</t>
  </si>
  <si>
    <t xml:space="preserve">Whole Mortgage Loan (Trust)</t>
  </si>
  <si>
    <t xml:space="preserve">Total Debt (incl. Mezzanine)</t>
  </si>
  <si>
    <t xml:space="preserve">PORTFOLIO ROLLUP: HISTORICAL, LENDER UNDERWRITING AND SSP UNDERWRITING</t>
  </si>
  <si>
    <t xml:space="preserve">Portfolio financials from Term Sheet page 55. Expenses presented as negatives. SSP column links to the asset level build on SSP UW Summary.</t>
  </si>
  <si>
    <t xml:space="preserve">($)</t>
  </si>
  <si>
    <t xml:space="preserve">2024</t>
  </si>
  <si>
    <t xml:space="preserve">2025</t>
  </si>
  <si>
    <t xml:space="preserve">TTM Aug-26</t>
  </si>
  <si>
    <t xml:space="preserve">T-6 Aug-26</t>
  </si>
  <si>
    <t xml:space="preserve">T-3 Aug-26</t>
  </si>
  <si>
    <t xml:space="preserve">T-1 Aug-26</t>
  </si>
  <si>
    <t xml:space="preserve">Sponsor Yr 1 Budget</t>
  </si>
  <si>
    <t xml:space="preserve">SSP In-Place</t>
  </si>
  <si>
    <t xml:space="preserve">TTM $ / Unit</t>
  </si>
  <si>
    <t xml:space="preserve">Lender UW $ / Unit</t>
  </si>
  <si>
    <t xml:space="preserve">SSP $ / Unit</t>
  </si>
  <si>
    <t xml:space="preserve">Gross Potential Rent</t>
  </si>
  <si>
    <t xml:space="preserve">Less: Vacancy</t>
  </si>
  <si>
    <t xml:space="preserve">Less: Bad Debt</t>
  </si>
  <si>
    <t xml:space="preserve">Less: Concessions</t>
  </si>
  <si>
    <t xml:space="preserve">Net Rental Income</t>
  </si>
  <si>
    <t xml:space="preserve">Laundry</t>
  </si>
  <si>
    <t xml:space="preserve">Parking</t>
  </si>
  <si>
    <t xml:space="preserve">Cable</t>
  </si>
  <si>
    <t xml:space="preserve">Miscellaneous Other Income</t>
  </si>
  <si>
    <t xml:space="preserve">Allowable Other Income</t>
  </si>
  <si>
    <t xml:space="preserve">Utility Reimbursements</t>
  </si>
  <si>
    <t xml:space="preserve">Commercial Income</t>
  </si>
  <si>
    <t xml:space="preserve">Total Allowable Other Income</t>
  </si>
  <si>
    <t xml:space="preserve">Effective Gross Income</t>
  </si>
  <si>
    <t xml:space="preserve">Utilities</t>
  </si>
  <si>
    <t xml:space="preserve">Repairs and Maintenance</t>
  </si>
  <si>
    <t xml:space="preserve">Management Fee</t>
  </si>
  <si>
    <t xml:space="preserve">Payroll</t>
  </si>
  <si>
    <t xml:space="preserve">Administrative</t>
  </si>
  <si>
    <t xml:space="preserve">Total Variable Expenses</t>
  </si>
  <si>
    <t xml:space="preserve">Real Estate Taxes</t>
  </si>
  <si>
    <t xml:space="preserve">Insurance</t>
  </si>
  <si>
    <t xml:space="preserve">Total Fixed Expenses</t>
  </si>
  <si>
    <t xml:space="preserve">Total Operating Expenses</t>
  </si>
  <si>
    <t xml:space="preserve">Net Operating Income</t>
  </si>
  <si>
    <t xml:space="preserve">Replacement Reserves</t>
  </si>
  <si>
    <t xml:space="preserve">Net Cash Flow</t>
  </si>
  <si>
    <t xml:space="preserve">Key Metrics</t>
  </si>
  <si>
    <t xml:space="preserve">Economic Occupancy (1 less Vacancy / GPR)</t>
  </si>
  <si>
    <t xml:space="preserve">Bad Debt % of GPR</t>
  </si>
  <si>
    <t xml:space="preserve">Concessions % of GPR</t>
  </si>
  <si>
    <t xml:space="preserve">Other Income % of EGI</t>
  </si>
  <si>
    <t xml:space="preserve">Operating Expense Ratio (% of EGI)</t>
  </si>
  <si>
    <t xml:space="preserve">Management Fee % of EGI</t>
  </si>
  <si>
    <t xml:space="preserve">EGI / Unit</t>
  </si>
  <si>
    <t xml:space="preserve">Operating Expenses / Unit</t>
  </si>
  <si>
    <t xml:space="preserve">NOI / Unit</t>
  </si>
  <si>
    <t xml:space="preserve">YoY NOI Growth</t>
  </si>
  <si>
    <t xml:space="preserve">Lender UW NOI vs TTM</t>
  </si>
  <si>
    <t xml:space="preserve">SSP In-Place NOI vs Lender UW</t>
  </si>
  <si>
    <t xml:space="preserve">SSP In-Place NOI vs TTM</t>
  </si>
  <si>
    <t xml:space="preserve">NOI Bridge</t>
  </si>
  <si>
    <t xml:space="preserve">Amount</t>
  </si>
  <si>
    <t xml:space="preserve">Gross Potential Rent (grossed up to rent roll)</t>
  </si>
  <si>
    <t xml:space="preserve">Vacancy</t>
  </si>
  <si>
    <t xml:space="preserve">Bad Debt</t>
  </si>
  <si>
    <t xml:space="preserve">Concessions</t>
  </si>
  <si>
    <t xml:space="preserve">Other Income</t>
  </si>
  <si>
    <t xml:space="preserve">Operating Expenses</t>
  </si>
  <si>
    <t xml:space="preserve">EGI: SSP uses TTM EGI with occupancy and revenue adjustments</t>
  </si>
  <si>
    <t xml:space="preserve">Operating Expenses: greater of TTM and UW, plus management fee top up</t>
  </si>
  <si>
    <t xml:space="preserve">SSP In-Place NOI</t>
  </si>
  <si>
    <t xml:space="preserve">Bridge check (Lender UW less Rollup NOI)</t>
  </si>
  <si>
    <t xml:space="preserve">Bridge check (SSP less Rollup NOI)</t>
  </si>
  <si>
    <t xml:space="preserve">Footnotes (Term Sheet page 56): GPR underwritten to the in place September 2026 rent roll with vacant and model units grossed up to Borrower Sponsor market rents. Bad debt at 2.0%. Concessions at T-12. Other income at T-3. Management fee at 2.0% of EGI. Real estate taxes at 2027 budget. Insurance at final premium. Reserves at $260 per unit.</t>
  </si>
  <si>
    <t xml:space="preserve">T-1 real estate taxes of $2,033,577 are well below the $8.6M underwritten, so T-1 NOI is not a clean run rate.</t>
  </si>
  <si>
    <t xml:space="preserve">Releases follow Term Sheet page 12 and 28: 110% of ALA up to 20% of the original mortgage balance, 115% thereafter, with pro rata then sequential application of prepayments.</t>
  </si>
  <si>
    <t xml:space="preserve">Assumptions</t>
  </si>
  <si>
    <t xml:space="preserve">Release Price Tier 1 (% of ALA)</t>
  </si>
  <si>
    <t xml:space="preserve">Release Price Tier 2 (% of ALA)</t>
  </si>
  <si>
    <t xml:space="preserve">Tier 1 Cap (% of Original Mortgage Balance)</t>
  </si>
  <si>
    <t xml:space="preserve">Free Prepayment Amount (% of Original Mortgage Balance)</t>
  </si>
  <si>
    <t xml:space="preserve">Occupancy Threshold for Scenario 6 (TTM Economic)</t>
  </si>
  <si>
    <t xml:space="preserve">Selected Scenario for Class Waterfall (1 to 6)</t>
  </si>
  <si>
    <t xml:space="preserve">Tier 1 Cap ($)</t>
  </si>
  <si>
    <t xml:space="preserve">Free Prepayment Amount ($)</t>
  </si>
  <si>
    <t xml:space="preserve">Mortgage Share of Total Debt (pro rata with Mezzanine)</t>
  </si>
  <si>
    <t xml:space="preserve">Assumption to confirm: ALA is applied on a total debt basis (Term Sheet page 34 ALA sums to $598.5M) with the release price split pro rata between the mortgage and mezzanine loans.</t>
  </si>
  <si>
    <t xml:space="preserve">Not modeled: any Spread Maintenance Premium on prepayments above the Free Prepayment Amount, default interest, and Short Interest or Breakage Costs.</t>
  </si>
  <si>
    <t xml:space="preserve">SSP LTV</t>
  </si>
  <si>
    <t xml:space="preserve">SSP DY</t>
  </si>
  <si>
    <t xml:space="preserve">S1</t>
  </si>
  <si>
    <t xml:space="preserve">S2</t>
  </si>
  <si>
    <t xml:space="preserve">S3</t>
  </si>
  <si>
    <t xml:space="preserve">S4</t>
  </si>
  <si>
    <t xml:space="preserve">S5</t>
  </si>
  <si>
    <t xml:space="preserve">S6</t>
  </si>
  <si>
    <t xml:space="preserve">Scenario Results</t>
  </si>
  <si>
    <t xml:space="preserve">Scenario</t>
  </si>
  <si>
    <t xml:space="preserve">Description</t>
  </si>
  <si>
    <t xml:space="preserve">Sell lowest SSP LTV assets up to the Tier 1 cap</t>
  </si>
  <si>
    <t xml:space="preserve">Sell highest SSP DY assets up to the Tier 1 cap</t>
  </si>
  <si>
    <t xml:space="preserve">Sell all assets with SSP LTV below the portfolio average</t>
  </si>
  <si>
    <t xml:space="preserve">Sell all Phoenix assets</t>
  </si>
  <si>
    <t xml:space="preserve">Sell all Dallas Fort Worth assets</t>
  </si>
  <si>
    <t xml:space="preserve">Assets Released (#)</t>
  </si>
  <si>
    <t xml:space="preserve">Units Released</t>
  </si>
  <si>
    <t xml:space="preserve">% of Units</t>
  </si>
  <si>
    <t xml:space="preserve">ALA Released</t>
  </si>
  <si>
    <t xml:space="preserve">% of Total ALA</t>
  </si>
  <si>
    <t xml:space="preserve">ALA Released at Tier 1 Price</t>
  </si>
  <si>
    <t xml:space="preserve">ALA Released at Tier 2 Price</t>
  </si>
  <si>
    <t xml:space="preserve">Release Price (Total Debt Prepaid)</t>
  </si>
  <si>
    <t xml:space="preserve">Premium Paid over ALA</t>
  </si>
  <si>
    <t xml:space="preserve">Mortgage Loan Prepaid</t>
  </si>
  <si>
    <t xml:space="preserve">Mezzanine Loan Prepaid</t>
  </si>
  <si>
    <t xml:space="preserve">Remaining Mortgage Loan</t>
  </si>
  <si>
    <t xml:space="preserve">Remaining Mezzanine Loan</t>
  </si>
  <si>
    <t xml:space="preserve">Remaining Total Debt</t>
  </si>
  <si>
    <t xml:space="preserve">Remaining Units</t>
  </si>
  <si>
    <t xml:space="preserve">Remaining Mortgage Debt / Unit</t>
  </si>
  <si>
    <t xml:space="preserve">Remaining Lender UW NOI</t>
  </si>
  <si>
    <t xml:space="preserve">Remaining SSP NOI</t>
  </si>
  <si>
    <t xml:space="preserve">Remaining SSP IP Value</t>
  </si>
  <si>
    <t xml:space="preserve">SSP LTV (Mortgage): Pre Release</t>
  </si>
  <si>
    <t xml:space="preserve">SSP LTV (Mortgage): Post Release</t>
  </si>
  <si>
    <t xml:space="preserve">Change (bps)</t>
  </si>
  <si>
    <t xml:space="preserve">SSP LTV (Total Debt): Pre Release</t>
  </si>
  <si>
    <t xml:space="preserve">SSP LTV (Total Debt): Post Release</t>
  </si>
  <si>
    <t xml:space="preserve">Lender UW DY (Aggregate): At Closing</t>
  </si>
  <si>
    <t xml:space="preserve">Lender UW DY (Aggregate): Post Release</t>
  </si>
  <si>
    <t xml:space="preserve">Release Test: Post Release DY exceeds Closing DY</t>
  </si>
  <si>
    <t xml:space="preserve">Lender UW DY (Mortgage): Post Release</t>
  </si>
  <si>
    <t xml:space="preserve">SSP DY (Mortgage): Pre Release</t>
  </si>
  <si>
    <t xml:space="preserve">SSP DY (Mortgage): Post Release</t>
  </si>
  <si>
    <t xml:space="preserve">Class Waterfall for Selected Scenario</t>
  </si>
  <si>
    <t xml:space="preserve">Selected Scenario</t>
  </si>
  <si>
    <t xml:space="preserve">Applied Pro Rata (up to Free Prepayment Amount)</t>
  </si>
  <si>
    <t xml:space="preserve">Applied Sequentially (Class A first)</t>
  </si>
  <si>
    <t xml:space="preserve">Original Balance</t>
  </si>
  <si>
    <t xml:space="preserve">Pro Rata Paydown</t>
  </si>
  <si>
    <t xml:space="preserve">Sequential Paydown</t>
  </si>
  <si>
    <t xml:space="preserve">Remaining Balance</t>
  </si>
  <si>
    <t xml:space="preserve">Cum. Remaining</t>
  </si>
  <si>
    <t xml:space="preserve">Pre SSP LTV (Detach)</t>
  </si>
  <si>
    <t xml:space="preserve">Post SSP LTV (Detach)</t>
  </si>
  <si>
    <t xml:space="preserve">Pre SSP DY</t>
  </si>
  <si>
    <t xml:space="preserve">Post SSP DY</t>
  </si>
  <si>
    <t xml:space="preserve">Grids are formula driven off SSP in place NOI and asset level cap rates. The dashed border marks the base case. Light green is favorable and light red is unfavorable.</t>
  </si>
  <si>
    <t xml:space="preserve">Step Assumptions</t>
  </si>
  <si>
    <t xml:space="preserve">Cap Rate Premium Step</t>
  </si>
  <si>
    <t xml:space="preserve">NOI Haircut Step</t>
  </si>
  <si>
    <t xml:space="preserve">SOFR Step</t>
  </si>
  <si>
    <t xml:space="preserve">Interest Rate Cap Benefit Applied (1 = Yes, 0 = No)</t>
  </si>
  <si>
    <t xml:space="preserve">SSP LTV: Mortgage Loan</t>
  </si>
  <si>
    <t xml:space="preserve">Notes</t>
  </si>
  <si>
    <t xml:space="preserve">Cap Rate Premium (rows) vs NOI Haircut (columns)</t>
  </si>
  <si>
    <t xml:space="preserve">Base case LTV equals the Cap Stack Control SSP IP LTV before the $10,000 rounding applied to each asset value.</t>
  </si>
  <si>
    <t xml:space="preserve">SSP LTV: Total Debt (incl. Mezzanine)</t>
  </si>
  <si>
    <t xml:space="preserve">SSP DSCR (NCF): Mortgage Loan</t>
  </si>
  <si>
    <t xml:space="preserve">With the cap benefit switch off, SOFR above the strike flows through to debt service. With it on, the index is limited to the strike.</t>
  </si>
  <si>
    <t xml:space="preserve">Term SOFR (rows) vs NOI Haircut (columns)</t>
  </si>
  <si>
    <t xml:space="preserve">SSP DSCR (NCF): Total Debt (incl. Mezzanine)</t>
  </si>
  <si>
    <t xml:space="preserve">Debt Yield vs Cash Sweep Triggers by NOI Haircut</t>
  </si>
  <si>
    <t xml:space="preserve">Basis (rows) vs NOI Haircut (columns)</t>
  </si>
  <si>
    <t xml:space="preserve">Mortgage DY on Lender UW NOI</t>
  </si>
  <si>
    <t xml:space="preserve">Mortgage DY on SSP IP NOI</t>
  </si>
  <si>
    <t xml:space="preserve">Aggregate DY on Lender UW NOI</t>
  </si>
  <si>
    <t xml:space="preserve">Aggregate DY on SSP IP NOI</t>
  </si>
  <si>
    <t xml:space="preserve">Red cells fall below the applicable cash sweep trigger (7.50% mortgage, 6.50% aggregate). Triggers are tested on trailing figures over two consecutive quarters.</t>
  </si>
  <si>
    <t xml:space="preserve">PORTFOLIO OVERVIEW AND STRATIFICATION</t>
  </si>
  <si>
    <t xml:space="preserve">Mirrors Term Sheet pages 34 and 37. UW base rent per unit is measured on occupied units, matching the Term Sheet.</t>
  </si>
  <si>
    <t xml:space="preserve">Property</t>
  </si>
  <si>
    <t xml:space="preserve">Location</t>
  </si>
  <si>
    <t xml:space="preserve">Year Built</t>
  </si>
  <si>
    <t xml:space="preserve">Years Renovated</t>
  </si>
  <si>
    <t xml:space="preserve">Occupancy</t>
  </si>
  <si>
    <t xml:space="preserve">Govt. Assisted Units</t>
  </si>
  <si>
    <t xml:space="preserve">Govt. Assisted %</t>
  </si>
  <si>
    <t xml:space="preserve">Avg SF / Unit</t>
  </si>
  <si>
    <t xml:space="preserve">UW Base Rent</t>
  </si>
  <si>
    <t xml:space="preserve">% of UW Base Rent</t>
  </si>
  <si>
    <t xml:space="preserve">UW Base Rent / Occ. Unit (Mo.)</t>
  </si>
  <si>
    <t xml:space="preserve">UW Base Rent PSF</t>
  </si>
  <si>
    <t xml:space="preserve">ALA</t>
  </si>
  <si>
    <t xml:space="preserve">ALA %</t>
  </si>
  <si>
    <t xml:space="preserve">Occupied Units</t>
  </si>
  <si>
    <t xml:space="preserve">State</t>
  </si>
  <si>
    <t xml:space="preserve">Stratification by State</t>
  </si>
  <si>
    <t xml:space="preserve"># of Properties</t>
  </si>
  <si>
    <t xml:space="preserve">Total Units</t>
  </si>
  <si>
    <t xml:space="preserve">TX</t>
  </si>
  <si>
    <t xml:space="preserve">AZ</t>
  </si>
  <si>
    <t xml:space="preserve">NC</t>
  </si>
  <si>
    <t xml:space="preserve">Stratification by Market</t>
  </si>
  <si>
    <t xml:space="preserve">Dallas-Fort Worth</t>
  </si>
  <si>
    <t xml:space="preserve">Phoenix</t>
  </si>
  <si>
    <t xml:space="preserve">Greensboro</t>
  </si>
  <si>
    <t xml:space="preserve">Charlotte</t>
  </si>
  <si>
    <t xml:space="preserve">Occupancy as of 9/1/2026. Occupied units are Units times Occupancy rounded to a whole unit.</t>
  </si>
  <si>
    <t xml:space="preserve">MODEL CHECKS AND TERM SHEET TIE OUT</t>
  </si>
  <si>
    <t xml:space="preserve">Model values (black or green) are compared with figures printed in the Term Sheet (blue). Tolerance reflects source rounding.</t>
  </si>
  <si>
    <t xml:space="preserve">Overall Status</t>
  </si>
  <si>
    <t xml:space="preserve">Check</t>
  </si>
  <si>
    <t xml:space="preserve">Model</t>
  </si>
  <si>
    <t xml:space="preserve">Term Sheet</t>
  </si>
  <si>
    <t xml:space="preserve">Difference</t>
  </si>
  <si>
    <t xml:space="preserve">Tolerance</t>
  </si>
  <si>
    <t xml:space="preserve">Status</t>
  </si>
  <si>
    <t xml:space="preserve">Source</t>
  </si>
  <si>
    <t xml:space="preserve">Total units</t>
  </si>
  <si>
    <t xml:space="preserve">Term Sheet p.9</t>
  </si>
  <si>
    <t xml:space="preserve">Mortgage loan balance (sum of asset balances)</t>
  </si>
  <si>
    <t xml:space="preserve">Term Sheet p.1</t>
  </si>
  <si>
    <t xml:space="preserve">Mezzanine loan initial balance</t>
  </si>
  <si>
    <t xml:space="preserve">Total debt (sum of ALA)</t>
  </si>
  <si>
    <t xml:space="preserve">Term Sheet p.34</t>
  </si>
  <si>
    <t xml:space="preserve">Class sizes sum to mortgage loan</t>
  </si>
  <si>
    <t xml:space="preserve">Class percentages sum to 100%</t>
  </si>
  <si>
    <t xml:space="preserve">Cap Stack Control</t>
  </si>
  <si>
    <t xml:space="preserve">Appraised value (As Portfolio)</t>
  </si>
  <si>
    <t xml:space="preserve">Term Sheet p.10</t>
  </si>
  <si>
    <t xml:space="preserve">Appraised value (sum of As-Is)</t>
  </si>
  <si>
    <t xml:space="preserve">Term Sheet p.10 ($738.2M)</t>
  </si>
  <si>
    <t xml:space="preserve">Lender UW NOI (Tape)</t>
  </si>
  <si>
    <t xml:space="preserve">Term Sheet p.10, p.55</t>
  </si>
  <si>
    <t xml:space="preserve">Lender UW NCF (Tape)</t>
  </si>
  <si>
    <t xml:space="preserve">Lender UW NOI (Rollup)</t>
  </si>
  <si>
    <t xml:space="preserve">Term Sheet p.55</t>
  </si>
  <si>
    <t xml:space="preserve">TTM NOI (Tape)</t>
  </si>
  <si>
    <t xml:space="preserve">TTM NOI (Rollup)</t>
  </si>
  <si>
    <t xml:space="preserve">2024 NOI (Tape)</t>
  </si>
  <si>
    <t xml:space="preserve">2024 NOI (Rollup)</t>
  </si>
  <si>
    <t xml:space="preserve">2025 NOI (Tape)</t>
  </si>
  <si>
    <t xml:space="preserve">2025 NOI (Rollup)</t>
  </si>
  <si>
    <t xml:space="preserve">Lender UW EGI (Tape)</t>
  </si>
  <si>
    <t xml:space="preserve">Lender UW EGI (Rollup)</t>
  </si>
  <si>
    <t xml:space="preserve">TTM EGI (Tape)</t>
  </si>
  <si>
    <t xml:space="preserve">TTM EGI (Rollup)</t>
  </si>
  <si>
    <t xml:space="preserve">Lender UW operating expenses (Rollup)</t>
  </si>
  <si>
    <t xml:space="preserve">TTM operating expenses (Rollup)</t>
  </si>
  <si>
    <t xml:space="preserve">Lender UW base rent (Tape)</t>
  </si>
  <si>
    <t xml:space="preserve">Lender UW replacement reserves (Tape)</t>
  </si>
  <si>
    <t xml:space="preserve">Mortgage loan to value (Est. Appraised)</t>
  </si>
  <si>
    <t xml:space="preserve">Total debt to value (Est. Appraised)</t>
  </si>
  <si>
    <t xml:space="preserve">Mortgage debt yield on UW NOI</t>
  </si>
  <si>
    <t xml:space="preserve">Mortgage debt yield on UW NCF</t>
  </si>
  <si>
    <t xml:space="preserve">Total debt yield on UW NOI</t>
  </si>
  <si>
    <t xml:space="preserve">Total debt yield on UW NCF</t>
  </si>
  <si>
    <t xml:space="preserve">Mortgage DSCR on UW NOI</t>
  </si>
  <si>
    <t xml:space="preserve">Mortgage DSCR on UW NCF</t>
  </si>
  <si>
    <t xml:space="preserve">Total debt DSCR on UW NOI</t>
  </si>
  <si>
    <t xml:space="preserve">Total debt DSCR on UW NCF</t>
  </si>
  <si>
    <t xml:space="preserve">Weighted average mortgage component spread (placeholder DMs)</t>
  </si>
  <si>
    <t xml:space="preserve">Term Sheet p.10 footnote 4</t>
  </si>
  <si>
    <t xml:space="preserve">Mortgage loan per unit</t>
  </si>
  <si>
    <t xml:space="preserve">Total debt per unit</t>
  </si>
  <si>
    <t xml:space="preserve">Total sources</t>
  </si>
  <si>
    <t xml:space="preserve">Total uses</t>
  </si>
  <si>
    <t xml:space="preserve">Implied equity at appraised value</t>
  </si>
  <si>
    <t xml:space="preserve">Sponsor cash equity remaining</t>
  </si>
  <si>
    <t xml:space="preserve">Term Sheet p.9 ($316.2M)</t>
  </si>
  <si>
    <t xml:space="preserve">Historical capex total</t>
  </si>
  <si>
    <t xml:space="preserve">Term Sheet p.35</t>
  </si>
  <si>
    <t xml:space="preserve">Occupied units</t>
  </si>
  <si>
    <t xml:space="preserve">Portfolio occupancy (9/1/2026)</t>
  </si>
  <si>
    <t xml:space="preserve">UW base rent per occupied unit (monthly)</t>
  </si>
  <si>
    <t xml:space="preserve">UW base rent PSF</t>
  </si>
  <si>
    <t xml:space="preserve">Texas units</t>
  </si>
  <si>
    <t xml:space="preserve">Term Sheet p.37</t>
  </si>
  <si>
    <t xml:space="preserve">Arizona units</t>
  </si>
  <si>
    <t xml:space="preserve">North Carolina units</t>
  </si>
  <si>
    <t xml:space="preserve">Texas UW base rent</t>
  </si>
  <si>
    <t xml:space="preserve">Arizona UW base rent</t>
  </si>
  <si>
    <t xml:space="preserve">North Carolina UW base rent</t>
  </si>
  <si>
    <t xml:space="preserve">Greensboro UW base rent</t>
  </si>
  <si>
    <t xml:space="preserve">Charlotte UW base rent</t>
  </si>
  <si>
    <t xml:space="preserve">Texas ALA</t>
  </si>
  <si>
    <t xml:space="preserve">Arizona ALA</t>
  </si>
  <si>
    <t xml:space="preserve">North Carolina ALA</t>
  </si>
  <si>
    <t xml:space="preserve">Underwritten economic occupancy (Rollup: 1 less vacancy / GPR)</t>
  </si>
  <si>
    <t xml:space="preserve">Term Sheet p.38</t>
  </si>
  <si>
    <t xml:space="preserve">TTM economic occupancy (Rollup: 1 less vacancy / GPR)</t>
  </si>
  <si>
    <t xml:space="preserve">Underwritten physical occupancy (unit weighted)</t>
  </si>
  <si>
    <t xml:space="preserve">Term Sheet p.39</t>
  </si>
  <si>
    <t xml:space="preserve">NOI bridge to Lender UW NOI reconciles</t>
  </si>
  <si>
    <t xml:space="preserve">Rollup</t>
  </si>
  <si>
    <t xml:space="preserve">NOI bridge to SSP NOI reconciles</t>
  </si>
  <si>
    <t xml:space="preserve">TAPE: ANNEX A AND TERM SHEET SOURCE DATA</t>
  </si>
  <si>
    <t xml:space="preserve">Blue cells are hardcoded from the RISE 2026-MF Annex A (premarketing) and Term Sheet pages 34 and 36. Expenses shown as positive values, matching the Annex.</t>
  </si>
  <si>
    <t xml:space="preserve">ID</t>
  </si>
  <si>
    <t xml:space="preserve">City</t>
  </si>
  <si>
    <t xml:space="preserve">Year Renovated</t>
  </si>
  <si>
    <t xml:space="preserve">Occupancy (9/1/26)</t>
  </si>
  <si>
    <t xml:space="preserve">Property Manager</t>
  </si>
  <si>
    <t xml:space="preserve">Acquisition Date</t>
  </si>
  <si>
    <t xml:space="preserve">Original Mortgage Balance</t>
  </si>
  <si>
    <t xml:space="preserve">Mezzanine Initial Balance</t>
  </si>
  <si>
    <t xml:space="preserve">Mezzanine Future Funding</t>
  </si>
  <si>
    <t xml:space="preserve">Appraisal Date</t>
  </si>
  <si>
    <t xml:space="preserve">2024 EGI</t>
  </si>
  <si>
    <t xml:space="preserve">2024 Expenses</t>
  </si>
  <si>
    <t xml:space="preserve">2024 NOI</t>
  </si>
  <si>
    <t xml:space="preserve">2025 EGI</t>
  </si>
  <si>
    <t xml:space="preserve">2025 Expenses</t>
  </si>
  <si>
    <t xml:space="preserve">2025 NOI</t>
  </si>
  <si>
    <t xml:space="preserve">TTM Aug-26 EGI</t>
  </si>
  <si>
    <t xml:space="preserve">TTM Aug-26 Expenses</t>
  </si>
  <si>
    <t xml:space="preserve">UW EGI</t>
  </si>
  <si>
    <t xml:space="preserve">UW Expenses</t>
  </si>
  <si>
    <t xml:space="preserve">UW NOI</t>
  </si>
  <si>
    <t xml:space="preserve">UW Reserves</t>
  </si>
  <si>
    <t xml:space="preserve">UW NCF</t>
  </si>
  <si>
    <t xml:space="preserve">Rise Broadway</t>
  </si>
  <si>
    <t xml:space="preserve">Mesa</t>
  </si>
  <si>
    <t xml:space="preserve">2023-2026</t>
  </si>
  <si>
    <t xml:space="preserve">Rise48 Communities, LLC</t>
  </si>
  <si>
    <t xml:space="preserve">Rise Bedford Lake</t>
  </si>
  <si>
    <t xml:space="preserve">Bedford</t>
  </si>
  <si>
    <t xml:space="preserve">Rise48 Communities TX, LLC</t>
  </si>
  <si>
    <t xml:space="preserve">Rise Creekside</t>
  </si>
  <si>
    <t xml:space="preserve">Northlake</t>
  </si>
  <si>
    <t xml:space="preserve">Rise Bridgeview</t>
  </si>
  <si>
    <t xml:space="preserve">2025-2026</t>
  </si>
  <si>
    <t xml:space="preserve">Rise Suncrest</t>
  </si>
  <si>
    <t xml:space="preserve">Tempe</t>
  </si>
  <si>
    <t xml:space="preserve">2022-2026</t>
  </si>
  <si>
    <t xml:space="preserve">Rise Desert Cove</t>
  </si>
  <si>
    <t xml:space="preserve">Rise Fossil Creek</t>
  </si>
  <si>
    <t xml:space="preserve">Haltom City</t>
  </si>
  <si>
    <t xml:space="preserve">2024-2026</t>
  </si>
  <si>
    <t xml:space="preserve">Rise Desert West</t>
  </si>
  <si>
    <t xml:space="preserve">Rise Lakeside</t>
  </si>
  <si>
    <t xml:space="preserve">Rise Spring Pointe</t>
  </si>
  <si>
    <t xml:space="preserve">Fort Worth</t>
  </si>
  <si>
    <t xml:space="preserve">Rise Skyline</t>
  </si>
  <si>
    <t xml:space="preserve">Mesquite</t>
  </si>
  <si>
    <t xml:space="preserve">Rise Hillcrest</t>
  </si>
  <si>
    <t xml:space="preserve">Garland</t>
  </si>
  <si>
    <t xml:space="preserve">Rise on Cave Creek</t>
  </si>
  <si>
    <t xml:space="preserve">Rise West Arlington</t>
  </si>
  <si>
    <t xml:space="preserve">Arlington</t>
  </si>
  <si>
    <t xml:space="preserve">Rise Heather Ridge</t>
  </si>
  <si>
    <t xml:space="preserve">Rise on Cactus</t>
  </si>
  <si>
    <t xml:space="preserve">Rise on McClintock</t>
  </si>
  <si>
    <t xml:space="preserve">Rise at Town East</t>
  </si>
  <si>
    <t xml:space="preserve">Rise at the Meadows</t>
  </si>
  <si>
    <t xml:space="preserve">Glendale</t>
  </si>
  <si>
    <t xml:space="preserve">Rise Oak Creek</t>
  </si>
  <si>
    <t xml:space="preserve">Rise North Arlington</t>
  </si>
  <si>
    <t xml:space="preserve">Rise Gateway</t>
  </si>
  <si>
    <t xml:space="preserve">Rise Matthews Pointe</t>
  </si>
  <si>
    <t xml:space="preserve">Matthews</t>
  </si>
  <si>
    <t xml:space="preserve">Portfolio Level Inputs</t>
  </si>
  <si>
    <t xml:space="preserve">Appraised Value (As Portfolio)</t>
  </si>
  <si>
    <t xml:space="preserve">Appraisal Date (As Portfolio)</t>
  </si>
  <si>
    <t xml:space="preserve">Appraisal Cap Rate (As Portfolio)</t>
  </si>
  <si>
    <t xml:space="preserve">Appraisal Firm</t>
  </si>
  <si>
    <t xml:space="preserve">CBRE Valuation &amp; Advisory Services</t>
  </si>
  <si>
    <t xml:space="preserve">Term Sheet page 9</t>
  </si>
  <si>
    <t xml:space="preserve">TTM As Of</t>
  </si>
  <si>
    <t xml:space="preserve">T-12 8/31/2026</t>
  </si>
  <si>
    <t xml:space="preserve">Source: RISE 2026-MF Annex A (Premarketing) and Term Sheet pages 34 (Avg SF / Unit) and 36 (Acquisition Date). Market assigned per Term Sheet page 37 stratification.</t>
  </si>
  <si>
    <t xml:space="preserve">OCCUPANCY HISTORY</t>
  </si>
  <si>
    <t xml:space="preserve">Term Sheet pages 38 (economic) and 39 (physical). Economic occupancy equals one minus vacancy divided by gross potential rent. Total rows are unit weighted averages of the asset figures. Term Sheet totals are derived from portfolio GPR and vacancy (see Rollup), so they differ slightly.</t>
  </si>
  <si>
    <t xml:space="preserve">Economic Occupancy</t>
  </si>
  <si>
    <t xml:space="preserve">T-6</t>
  </si>
  <si>
    <t xml:space="preserve">T-3</t>
  </si>
  <si>
    <t xml:space="preserve">T-1</t>
  </si>
  <si>
    <t xml:space="preserve">Underwritten</t>
  </si>
  <si>
    <t xml:space="preserve">Physical Occupancy</t>
  </si>
  <si>
    <t xml:space="preserve">Note: 2024 physical occupancy reflects 6/1/2024 to 12/31/2024 except for Hillcrest, Gateway, Bridgeview and Matthews Pointe (Term Sheet page 39). Bridgeview 2024 financials are not meaningful given a December 2024 acquisition.</t>
  </si>
  <si>
    <t xml:space="preserve">HISTORICAL CAPITAL EXPENDITURES</t>
  </si>
  <si>
    <t xml:space="preserve">Term Sheet page 36. Total / Wtd. Avg. ties to $52,364,238 ($10,801 per unit) on Term Sheet pages 35 and 36.</t>
  </si>
  <si>
    <t xml:space="preserve">2023</t>
  </si>
  <si>
    <t xml:space="preserve">2026</t>
  </si>
  <si>
    <t xml:space="preserve">Total</t>
  </si>
  <si>
    <t xml:space="preserve">% of Total</t>
  </si>
  <si>
    <t xml:space="preserve">Note: Property totals may differ from the Term Sheet by $1 to $2 due to rounding in the source.</t>
  </si>
</sst>
</file>

<file path=xl/styles.xml><?xml version="1.0" encoding="utf-8"?>
<styleSheet xmlns="http://schemas.openxmlformats.org/spreadsheetml/2006/main">
  <numFmts count="15">
    <numFmt numFmtId="164" formatCode="General"/>
    <numFmt numFmtId="165" formatCode="$#,##0;($#,##0);-"/>
    <numFmt numFmtId="166" formatCode="#,##0;(#,##0);&quot;-&quot;"/>
    <numFmt numFmtId="167" formatCode="0.0%;(0.0%);-"/>
    <numFmt numFmtId="168" formatCode="0.00%;(0.00%);-"/>
    <numFmt numFmtId="169" formatCode="0.0000"/>
    <numFmt numFmtId="170" formatCode="0.000%"/>
    <numFmt numFmtId="171" formatCode="0.00&quot;x&quot;;(0.00&quot;x&quot;);-"/>
    <numFmt numFmtId="172" formatCode="General"/>
    <numFmt numFmtId="173" formatCode="#,##0&quot; bps&quot;;(#,##0&quot; bps&quot;);-"/>
    <numFmt numFmtId="174" formatCode="0.0%"/>
    <numFmt numFmtId="175" formatCode="0.00%"/>
    <numFmt numFmtId="176" formatCode="0"/>
    <numFmt numFmtId="177" formatCode="$#,##0.00;($#,##0.00);-"/>
    <numFmt numFmtId="178" formatCode="m/d/yyyy"/>
  </numFmts>
  <fonts count="14">
    <font>
      <sz val="11"/>
      <color theme="1"/>
      <name val="Calibri"/>
      <family val="2"/>
      <charset val="1"/>
    </font>
    <font>
      <sz val="10"/>
      <name val="Arial"/>
      <family val="0"/>
    </font>
    <font>
      <sz val="10"/>
      <name val="Arial"/>
      <family val="0"/>
    </font>
    <font>
      <sz val="10"/>
      <name val="Arial"/>
      <family val="0"/>
    </font>
    <font>
      <sz val="10"/>
      <name val="Calibri"/>
      <family val="0"/>
      <charset val="1"/>
    </font>
    <font>
      <b val="true"/>
      <sz val="10"/>
      <color rgb="FF0F2F51"/>
      <name val="Calibri"/>
      <family val="0"/>
      <charset val="1"/>
    </font>
    <font>
      <b val="true"/>
      <sz val="10"/>
      <color rgb="FFFFFFFF"/>
      <name val="Calibri"/>
      <family val="0"/>
      <charset val="1"/>
    </font>
    <font>
      <sz val="10"/>
      <color rgb="FF000000"/>
      <name val="Calibri"/>
      <family val="0"/>
      <charset val="1"/>
    </font>
    <font>
      <sz val="10"/>
      <color rgb="FF0000FF"/>
      <name val="Calibri"/>
      <family val="0"/>
      <charset val="1"/>
    </font>
    <font>
      <sz val="10"/>
      <color rgb="FF008000"/>
      <name val="Calibri"/>
      <family val="0"/>
      <charset val="1"/>
    </font>
    <font>
      <i val="true"/>
      <sz val="10"/>
      <color rgb="FF7F7F7F"/>
      <name val="Calibri"/>
      <family val="0"/>
      <charset val="1"/>
    </font>
    <font>
      <b val="true"/>
      <sz val="10"/>
      <color rgb="FF000000"/>
      <name val="Calibri"/>
      <family val="0"/>
      <charset val="1"/>
    </font>
    <font>
      <b val="true"/>
      <sz val="10"/>
      <color rgb="FF008000"/>
      <name val="Calibri"/>
      <family val="0"/>
      <charset val="1"/>
    </font>
    <font>
      <b val="true"/>
      <sz val="10"/>
      <color rgb="FF0000FF"/>
      <name val="Calibri"/>
      <family val="0"/>
      <charset val="1"/>
    </font>
  </fonts>
  <fills count="5">
    <fill>
      <patternFill patternType="none"/>
    </fill>
    <fill>
      <patternFill patternType="gray125"/>
    </fill>
    <fill>
      <patternFill patternType="solid">
        <fgColor rgb="FF0F2F51"/>
        <bgColor rgb="FF333333"/>
      </patternFill>
    </fill>
    <fill>
      <patternFill patternType="solid">
        <fgColor rgb="FFF2F2F2"/>
        <bgColor rgb="FFE2EFDA"/>
      </patternFill>
    </fill>
    <fill>
      <patternFill patternType="solid">
        <fgColor rgb="FFD9E1F2"/>
        <bgColor rgb="FFE2EFDA"/>
      </patternFill>
    </fill>
  </fills>
  <borders count="5">
    <border diagonalUp="false" diagonalDown="false">
      <left/>
      <right/>
      <top/>
      <bottom/>
      <diagonal/>
    </border>
    <border diagonalUp="false" diagonalDown="false">
      <left/>
      <right/>
      <top/>
      <bottom style="medium">
        <color rgb="FFD9E1F2"/>
      </bottom>
      <diagonal/>
    </border>
    <border diagonalUp="false" diagonalDown="false">
      <left style="dotted">
        <color rgb="FF808080"/>
      </left>
      <right style="dotted">
        <color rgb="FF808080"/>
      </right>
      <top style="dotted">
        <color rgb="FF808080"/>
      </top>
      <bottom style="dotted">
        <color rgb="FF808080"/>
      </bottom>
      <diagonal/>
    </border>
    <border diagonalUp="false" diagonalDown="false">
      <left/>
      <right/>
      <top style="thin">
        <color rgb="FF0F2F51"/>
      </top>
      <bottom/>
      <diagonal/>
    </border>
    <border diagonalUp="false" diagonalDown="false">
      <left style="dashed"/>
      <right style="dashed"/>
      <top style="dashed"/>
      <bottom style="dashed"/>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7" fontId="4" fillId="0" borderId="0" applyFont="true" applyBorder="true" applyAlignment="true" applyProtection="true">
      <alignment horizontal="general" vertical="bottom" textRotation="0" wrapText="false" indent="0" shrinkToFit="false"/>
      <protection locked="true" hidden="false"/>
    </xf>
  </cellStyleXfs>
  <cellXfs count="14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8" fontId="8" fillId="0" borderId="2" xfId="0" applyFont="true" applyBorder="true" applyAlignment="true" applyProtection="false">
      <alignment horizontal="general" vertical="center" textRotation="0" wrapText="fals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6" fontId="9" fillId="3" borderId="0" xfId="21" applyFont="true" applyBorder="true" applyAlignment="true" applyProtection="false">
      <alignment horizontal="right"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8" fontId="8" fillId="3" borderId="2" xfId="0" applyFont="true" applyBorder="true" applyAlignment="true" applyProtection="false">
      <alignment horizontal="general" vertical="center" textRotation="0" wrapText="false" indent="0" shrinkToFit="false"/>
      <protection locked="true" hidden="false"/>
    </xf>
    <xf numFmtId="165" fontId="9" fillId="0" borderId="0" xfId="20" applyFont="true" applyBorder="true" applyAlignment="true" applyProtection="false">
      <alignment horizontal="right" vertical="center" textRotation="0" wrapText="false" indent="0" shrinkToFit="false"/>
      <protection locked="true" hidden="false"/>
    </xf>
    <xf numFmtId="168" fontId="7" fillId="0" borderId="0" xfId="0" applyFont="true" applyBorder="false" applyAlignment="true" applyProtection="false">
      <alignment horizontal="general" vertical="center" textRotation="0" wrapText="false" indent="0" shrinkToFit="false"/>
      <protection locked="true" hidden="false"/>
    </xf>
    <xf numFmtId="165" fontId="9" fillId="3" borderId="0" xfId="20" applyFont="true" applyBorder="true" applyAlignment="true" applyProtection="false">
      <alignment horizontal="right" vertical="center" textRotation="0" wrapText="false" indent="0" shrinkToFit="false"/>
      <protection locked="true" hidden="false"/>
    </xf>
    <xf numFmtId="166" fontId="8" fillId="0" borderId="2" xfId="21" applyFont="true" applyBorder="true" applyAlignment="true" applyProtection="false">
      <alignment horizontal="general" vertical="center" textRotation="0" wrapText="false" indent="0" shrinkToFit="false"/>
      <protection locked="true" hidden="false"/>
    </xf>
    <xf numFmtId="166" fontId="8" fillId="3" borderId="2" xfId="21" applyFont="true" applyBorder="true" applyAlignment="true" applyProtection="false">
      <alignment horizontal="general" vertical="center" textRotation="0" wrapText="false" indent="0" shrinkToFit="false"/>
      <protection locked="true" hidden="false"/>
    </xf>
    <xf numFmtId="169" fontId="7"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9" fillId="3"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5" fontId="7" fillId="0" borderId="0" xfId="20" applyFont="true" applyBorder="true" applyAlignment="true" applyProtection="false">
      <alignment horizontal="general" vertical="center" textRotation="0" wrapText="false" indent="0" shrinkToFit="false"/>
      <protection locked="true" hidden="false"/>
    </xf>
    <xf numFmtId="167" fontId="7" fillId="0" borderId="0" xfId="22" applyFont="true" applyBorder="true" applyAlignment="true" applyProtection="false">
      <alignment horizontal="general" vertical="center" textRotation="0" wrapText="false" indent="0" shrinkToFit="false"/>
      <protection locked="true" hidden="false"/>
    </xf>
    <xf numFmtId="166" fontId="7" fillId="0" borderId="0" xfId="21" applyFont="true" applyBorder="true" applyAlignment="true" applyProtection="false">
      <alignment horizontal="general" vertical="center" textRotation="0" wrapText="false" indent="0" shrinkToFit="false"/>
      <protection locked="true" hidden="false"/>
    </xf>
    <xf numFmtId="165" fontId="8" fillId="0" borderId="2" xfId="20" applyFont="true" applyBorder="true" applyAlignment="true" applyProtection="false">
      <alignment horizontal="general" vertical="center" textRotation="0" wrapText="false" indent="0" shrinkToFit="false"/>
      <protection locked="true" hidden="false"/>
    </xf>
    <xf numFmtId="166" fontId="7" fillId="0" borderId="0" xfId="21" applyFont="true" applyBorder="true" applyAlignment="true" applyProtection="false">
      <alignment horizontal="right" vertical="center" textRotation="0" wrapText="false" indent="0" shrinkToFit="false"/>
      <protection locked="true" hidden="false"/>
    </xf>
    <xf numFmtId="164" fontId="7" fillId="3" borderId="0" xfId="0" applyFont="true" applyBorder="false" applyAlignment="true" applyProtection="false">
      <alignment horizontal="left" vertical="center" textRotation="0" wrapText="false" indent="0" shrinkToFit="false"/>
      <protection locked="true" hidden="false"/>
    </xf>
    <xf numFmtId="164" fontId="8" fillId="3" borderId="0" xfId="0" applyFont="true" applyBorder="false" applyAlignment="true" applyProtection="false">
      <alignment horizontal="center" vertical="center" textRotation="0" wrapText="false" indent="0" shrinkToFit="false"/>
      <protection locked="true" hidden="false"/>
    </xf>
    <xf numFmtId="165" fontId="7" fillId="3" borderId="0" xfId="20" applyFont="true" applyBorder="true" applyAlignment="true" applyProtection="false">
      <alignment horizontal="general" vertical="center" textRotation="0" wrapText="false" indent="0" shrinkToFit="false"/>
      <protection locked="true" hidden="false"/>
    </xf>
    <xf numFmtId="167" fontId="8" fillId="3" borderId="2" xfId="22" applyFont="true" applyBorder="true" applyAlignment="true" applyProtection="false">
      <alignment horizontal="general" vertical="center" textRotation="0" wrapText="false" indent="0" shrinkToFit="false"/>
      <protection locked="true" hidden="false"/>
    </xf>
    <xf numFmtId="167" fontId="7" fillId="3" borderId="0" xfId="22" applyFont="true" applyBorder="true" applyAlignment="true" applyProtection="false">
      <alignment horizontal="general" vertical="center" textRotation="0" wrapText="false" indent="0" shrinkToFit="false"/>
      <protection locked="true" hidden="false"/>
    </xf>
    <xf numFmtId="168" fontId="7" fillId="3" borderId="0" xfId="0" applyFont="true" applyBorder="false" applyAlignment="true" applyProtection="false">
      <alignment horizontal="general" vertical="center" textRotation="0" wrapText="false" indent="0" shrinkToFit="false"/>
      <protection locked="true" hidden="false"/>
    </xf>
    <xf numFmtId="166" fontId="7" fillId="3" borderId="0" xfId="21" applyFont="true" applyBorder="true" applyAlignment="true" applyProtection="false">
      <alignment horizontal="general" vertical="center" textRotation="0" wrapText="false" indent="0" shrinkToFit="false"/>
      <protection locked="true" hidden="false"/>
    </xf>
    <xf numFmtId="165" fontId="8" fillId="3" borderId="2" xfId="20" applyFont="true" applyBorder="true" applyAlignment="true" applyProtection="false">
      <alignment horizontal="general" vertical="center" textRotation="0" wrapText="false" indent="0" shrinkToFit="false"/>
      <protection locked="true" hidden="false"/>
    </xf>
    <xf numFmtId="166" fontId="7" fillId="3" borderId="0" xfId="21" applyFont="true" applyBorder="true" applyAlignment="true" applyProtection="false">
      <alignment horizontal="right" vertical="center" textRotation="0" wrapText="false" indent="0" shrinkToFit="false"/>
      <protection locked="true" hidden="false"/>
    </xf>
    <xf numFmtId="167" fontId="8" fillId="0" borderId="2" xfId="22"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5" fontId="6" fillId="2" borderId="0" xfId="20" applyFont="true" applyBorder="true" applyAlignment="true" applyProtection="false">
      <alignment horizontal="general" vertical="center" textRotation="0" wrapText="false" indent="0" shrinkToFit="false"/>
      <protection locked="true" hidden="false"/>
    </xf>
    <xf numFmtId="167" fontId="6" fillId="2" borderId="0" xfId="22" applyFont="true" applyBorder="tru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right" vertical="center" textRotation="0" wrapText="false" indent="0" shrinkToFit="false"/>
      <protection locked="true" hidden="false"/>
    </xf>
    <xf numFmtId="168" fontId="6" fillId="2" borderId="0" xfId="0" applyFont="true" applyBorder="false" applyAlignment="true" applyProtection="false">
      <alignment horizontal="general" vertical="center" textRotation="0" wrapText="false" indent="0" shrinkToFit="false"/>
      <protection locked="true" hidden="false"/>
    </xf>
    <xf numFmtId="166" fontId="6" fillId="2" borderId="0" xfId="21" applyFont="true" applyBorder="true" applyAlignment="true" applyProtection="false">
      <alignment horizontal="general" vertical="center" textRotation="0" wrapText="false" indent="0" shrinkToFit="false"/>
      <protection locked="true" hidden="false"/>
    </xf>
    <xf numFmtId="166" fontId="6" fillId="2" borderId="0" xfId="21" applyFont="true" applyBorder="true" applyAlignment="true" applyProtection="false">
      <alignment horizontal="right" vertical="center" textRotation="0" wrapText="false" indent="0" shrinkToFit="false"/>
      <protection locked="true" hidden="false"/>
    </xf>
    <xf numFmtId="165" fontId="9" fillId="0" borderId="0" xfId="20" applyFont="true" applyBorder="true" applyAlignment="true" applyProtection="false">
      <alignment horizontal="general" vertical="center" textRotation="0" wrapText="false" indent="0" shrinkToFit="false"/>
      <protection locked="true" hidden="false"/>
    </xf>
    <xf numFmtId="170" fontId="6" fillId="2" borderId="0" xfId="0" applyFont="true" applyBorder="false" applyAlignment="true" applyProtection="false">
      <alignment horizontal="general" vertical="center" textRotation="0" wrapText="false" indent="0" shrinkToFit="false"/>
      <protection locked="true" hidden="false"/>
    </xf>
    <xf numFmtId="165" fontId="9" fillId="3" borderId="0" xfId="20" applyFont="true" applyBorder="tru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5" fontId="11" fillId="0" borderId="0" xfId="20" applyFont="true" applyBorder="true" applyAlignment="true" applyProtection="false">
      <alignment horizontal="general" vertical="center" textRotation="0" wrapText="false" indent="0" shrinkToFit="false"/>
      <protection locked="true" hidden="false"/>
    </xf>
    <xf numFmtId="171" fontId="7" fillId="0" borderId="0" xfId="0" applyFont="true" applyBorder="false" applyAlignment="true" applyProtection="false">
      <alignment horizontal="general" vertical="center" textRotation="0" wrapText="false" indent="0" shrinkToFit="false"/>
      <protection locked="true" hidden="false"/>
    </xf>
    <xf numFmtId="171" fontId="7" fillId="3" borderId="0" xfId="0" applyFont="true" applyBorder="false" applyAlignment="true" applyProtection="false">
      <alignment horizontal="general" vertical="center" textRotation="0" wrapText="false" indent="0" shrinkToFit="false"/>
      <protection locked="true" hidden="false"/>
    </xf>
    <xf numFmtId="164" fontId="7" fillId="3" borderId="0" xfId="0" applyFont="true" applyBorder="false" applyAlignment="true" applyProtection="false">
      <alignment horizontal="right" vertical="center" textRotation="0" wrapText="false" indent="0" shrinkToFit="false"/>
      <protection locked="true" hidden="false"/>
    </xf>
    <xf numFmtId="166" fontId="9" fillId="0" borderId="0" xfId="21"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10" fillId="3" borderId="0" xfId="0" applyFont="true" applyBorder="false" applyAlignment="true" applyProtection="false">
      <alignment horizontal="general"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7" fontId="9" fillId="0" borderId="0" xfId="22" applyFont="true" applyBorder="true" applyAlignment="true" applyProtection="false">
      <alignment horizontal="general" vertical="center" textRotation="0" wrapText="false" indent="0" shrinkToFit="false"/>
      <protection locked="true" hidden="false"/>
    </xf>
    <xf numFmtId="168" fontId="9" fillId="0" borderId="0" xfId="0" applyFont="true" applyBorder="false" applyAlignment="true" applyProtection="false">
      <alignment horizontal="general" vertical="center" textRotation="0" wrapText="false" indent="0" shrinkToFit="false"/>
      <protection locked="true" hidden="false"/>
    </xf>
    <xf numFmtId="172" fontId="7" fillId="3" borderId="0" xfId="0" applyFont="true" applyBorder="false" applyAlignment="true" applyProtection="false">
      <alignment horizontal="center" vertical="center" textRotation="0" wrapText="false" indent="0" shrinkToFit="false"/>
      <protection locked="true" hidden="false"/>
    </xf>
    <xf numFmtId="164" fontId="9" fillId="3" borderId="0" xfId="0" applyFont="true" applyBorder="false" applyAlignment="true" applyProtection="false">
      <alignment horizontal="left" vertical="center" textRotation="0" wrapText="false" indent="0" shrinkToFit="false"/>
      <protection locked="true" hidden="false"/>
    </xf>
    <xf numFmtId="166" fontId="9" fillId="3" borderId="0" xfId="21" applyFont="true" applyBorder="true" applyAlignment="true" applyProtection="false">
      <alignment horizontal="general" vertical="center" textRotation="0" wrapText="false" indent="0" shrinkToFit="false"/>
      <protection locked="true" hidden="false"/>
    </xf>
    <xf numFmtId="167" fontId="9" fillId="3" borderId="0" xfId="22" applyFont="true" applyBorder="true" applyAlignment="true" applyProtection="false">
      <alignment horizontal="general" vertical="center" textRotation="0" wrapText="false" indent="0" shrinkToFit="false"/>
      <protection locked="true" hidden="false"/>
    </xf>
    <xf numFmtId="168" fontId="9" fillId="3" borderId="0" xfId="0" applyFont="true" applyBorder="false" applyAlignment="true" applyProtection="false">
      <alignment horizontal="general" vertical="center" textRotation="0" wrapText="false" indent="0" shrinkToFit="false"/>
      <protection locked="true" hidden="false"/>
    </xf>
    <xf numFmtId="165" fontId="11" fillId="3" borderId="0" xfId="20" applyFont="true" applyBorder="true" applyAlignment="true" applyProtection="false">
      <alignment horizontal="general" vertical="center" textRotation="0" wrapText="false" indent="0" shrinkToFit="false"/>
      <protection locked="true" hidden="false"/>
    </xf>
    <xf numFmtId="164" fontId="11" fillId="0" borderId="3" xfId="0" applyFont="true" applyBorder="true" applyAlignment="true" applyProtection="false">
      <alignment horizontal="left" vertical="center" textRotation="0" wrapText="false" indent="0" shrinkToFit="false"/>
      <protection locked="true" hidden="false"/>
    </xf>
    <xf numFmtId="165" fontId="11" fillId="0" borderId="3" xfId="20" applyFont="true" applyBorder="true" applyAlignment="true" applyProtection="false">
      <alignment horizontal="general"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11" fillId="4" borderId="3" xfId="0" applyFont="true" applyBorder="true" applyAlignment="true" applyProtection="false">
      <alignment horizontal="left" vertical="center" textRotation="0" wrapText="false" indent="0" shrinkToFit="false"/>
      <protection locked="true" hidden="false"/>
    </xf>
    <xf numFmtId="165" fontId="11" fillId="4" borderId="3" xfId="20" applyFont="true" applyBorder="true" applyAlignment="true" applyProtection="false">
      <alignment horizontal="general" vertical="center" textRotation="0" wrapText="false" indent="0" shrinkToFit="false"/>
      <protection locked="true" hidden="false"/>
    </xf>
    <xf numFmtId="165" fontId="12" fillId="0" borderId="0" xfId="20" applyFont="true" applyBorder="true" applyAlignment="true" applyProtection="false">
      <alignment horizontal="general" vertical="center" textRotation="0" wrapText="false" indent="0" shrinkToFit="false"/>
      <protection locked="true" hidden="false"/>
    </xf>
    <xf numFmtId="165" fontId="11" fillId="4" borderId="0" xfId="20" applyFont="true" applyBorder="true" applyAlignment="true" applyProtection="false">
      <alignment horizontal="general" vertical="center" textRotation="0" wrapText="false" indent="0" shrinkToFit="false"/>
      <protection locked="true" hidden="false"/>
    </xf>
    <xf numFmtId="164" fontId="11" fillId="4" borderId="0" xfId="0" applyFont="true" applyBorder="false" applyAlignment="true" applyProtection="false">
      <alignment horizontal="left" vertical="center" textRotation="0" wrapText="false" indent="0" shrinkToFit="false"/>
      <protection locked="true" hidden="false"/>
    </xf>
    <xf numFmtId="166" fontId="7" fillId="0" borderId="0" xfId="21" applyFont="true" applyBorder="true" applyAlignment="true" applyProtection="false">
      <alignment horizontal="center" vertical="center" textRotation="0" wrapText="false" indent="0" shrinkToFit="false"/>
      <protection locked="true" hidden="false"/>
    </xf>
    <xf numFmtId="166" fontId="7" fillId="3" borderId="0" xfId="21" applyFont="true" applyBorder="true" applyAlignment="true" applyProtection="false">
      <alignment horizontal="center" vertical="center" textRotation="0" wrapText="false" indent="0" shrinkToFit="false"/>
      <protection locked="true" hidden="false"/>
    </xf>
    <xf numFmtId="166" fontId="6" fillId="2" borderId="0" xfId="21" applyFont="true" applyBorder="true" applyAlignment="true" applyProtection="false">
      <alignment horizontal="center" vertical="center" textRotation="0" wrapText="false" indent="0" shrinkToFit="false"/>
      <protection locked="true" hidden="false"/>
    </xf>
    <xf numFmtId="167" fontId="7" fillId="0" borderId="0" xfId="22" applyFont="true" applyBorder="true" applyAlignment="true" applyProtection="false">
      <alignment horizontal="right" vertical="center" textRotation="0" wrapText="false" indent="0" shrinkToFit="false"/>
      <protection locked="true" hidden="false"/>
    </xf>
    <xf numFmtId="165" fontId="7" fillId="3" borderId="0" xfId="20" applyFont="true" applyBorder="true" applyAlignment="true" applyProtection="false">
      <alignment horizontal="right" vertical="center" textRotation="0" wrapText="false" indent="0" shrinkToFit="false"/>
      <protection locked="true" hidden="false"/>
    </xf>
    <xf numFmtId="165" fontId="7" fillId="0" borderId="0" xfId="20" applyFont="true" applyBorder="true" applyAlignment="true" applyProtection="false">
      <alignment horizontal="right" vertical="center" textRotation="0" wrapText="false" indent="0" shrinkToFit="false"/>
      <protection locked="true" hidden="false"/>
    </xf>
    <xf numFmtId="164" fontId="11" fillId="3" borderId="0" xfId="0" applyFont="true" applyBorder="false" applyAlignment="true" applyProtection="false">
      <alignment horizontal="left" vertical="center" textRotation="0" wrapText="false" indent="0" shrinkToFit="false"/>
      <protection locked="true" hidden="false"/>
    </xf>
    <xf numFmtId="165" fontId="11" fillId="3" borderId="0" xfId="20" applyFont="true" applyBorder="true" applyAlignment="true" applyProtection="false">
      <alignment horizontal="right" vertical="center" textRotation="0" wrapText="false" indent="0" shrinkToFit="false"/>
      <protection locked="true" hidden="false"/>
    </xf>
    <xf numFmtId="167" fontId="7" fillId="3" borderId="0" xfId="22" applyFont="true" applyBorder="true" applyAlignment="true" applyProtection="false">
      <alignment horizontal="righ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7" fontId="11" fillId="0" borderId="0" xfId="22" applyFont="true" applyBorder="true" applyAlignment="true" applyProtection="false">
      <alignment horizontal="right" vertical="center" textRotation="0" wrapText="false" indent="0" shrinkToFit="false"/>
      <protection locked="true" hidden="false"/>
    </xf>
    <xf numFmtId="173" fontId="7" fillId="3" borderId="0" xfId="0" applyFont="true" applyBorder="false" applyAlignment="true" applyProtection="false">
      <alignment horizontal="right" vertical="center" textRotation="0" wrapText="false" indent="0" shrinkToFit="false"/>
      <protection locked="true" hidden="false"/>
    </xf>
    <xf numFmtId="167" fontId="11" fillId="3" borderId="0" xfId="22" applyFont="true" applyBorder="true" applyAlignment="true" applyProtection="false">
      <alignment horizontal="right" vertical="center" textRotation="0" wrapText="false" indent="0" shrinkToFit="false"/>
      <protection locked="true" hidden="false"/>
    </xf>
    <xf numFmtId="173" fontId="7" fillId="0" borderId="0" xfId="0" applyFont="true" applyBorder="false" applyAlignment="true" applyProtection="false">
      <alignment horizontal="right" vertical="center" textRotation="0" wrapText="false" indent="0" shrinkToFit="false"/>
      <protection locked="true" hidden="false"/>
    </xf>
    <xf numFmtId="168" fontId="7" fillId="3" borderId="0" xfId="0" applyFont="true" applyBorder="false" applyAlignment="true" applyProtection="false">
      <alignment horizontal="right" vertical="center" textRotation="0" wrapText="false" indent="0" shrinkToFit="false"/>
      <protection locked="true" hidden="false"/>
    </xf>
    <xf numFmtId="168" fontId="11" fillId="0" borderId="0" xfId="0" applyFont="true" applyBorder="false" applyAlignment="true" applyProtection="false">
      <alignment horizontal="right" vertical="center" textRotation="0" wrapText="false" indent="0" shrinkToFit="false"/>
      <protection locked="true" hidden="false"/>
    </xf>
    <xf numFmtId="168" fontId="7" fillId="0"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73" fontId="7" fillId="0" borderId="0" xfId="0" applyFont="true" applyBorder="false" applyAlignment="true" applyProtection="false">
      <alignment horizontal="general" vertical="center" textRotation="0" wrapText="false" indent="0" shrinkToFit="false"/>
      <protection locked="true" hidden="false"/>
    </xf>
    <xf numFmtId="164" fontId="9" fillId="3" borderId="0" xfId="0" applyFont="true" applyBorder="false" applyAlignment="true" applyProtection="false">
      <alignment horizontal="center" vertical="center" textRotation="0" wrapText="false" indent="0" shrinkToFit="false"/>
      <protection locked="true" hidden="false"/>
    </xf>
    <xf numFmtId="173" fontId="7" fillId="3" borderId="0" xfId="0" applyFont="true" applyBorder="false" applyAlignment="true" applyProtection="false">
      <alignment horizontal="general" vertical="center" textRotation="0" wrapText="false" indent="0" shrinkToFit="false"/>
      <protection locked="true" hidden="false"/>
    </xf>
    <xf numFmtId="174" fontId="13" fillId="4" borderId="0" xfId="0" applyFont="true" applyBorder="false" applyAlignment="true" applyProtection="false">
      <alignment horizontal="center" vertical="center" textRotation="0" wrapText="false" indent="0" shrinkToFit="false"/>
      <protection locked="true" hidden="false"/>
    </xf>
    <xf numFmtId="174" fontId="6" fillId="2" borderId="0" xfId="0" applyFont="true" applyBorder="false" applyAlignment="true" applyProtection="false">
      <alignment horizontal="center" vertical="center" textRotation="0" wrapText="false" indent="0" shrinkToFit="false"/>
      <protection locked="true" hidden="false"/>
    </xf>
    <xf numFmtId="175" fontId="11" fillId="4" borderId="0" xfId="0" applyFont="true" applyBorder="false" applyAlignment="true" applyProtection="false">
      <alignment horizontal="center" vertical="center" textRotation="0" wrapText="false" indent="0" shrinkToFit="false"/>
      <protection locked="true" hidden="false"/>
    </xf>
    <xf numFmtId="167" fontId="7" fillId="0" borderId="4" xfId="22" applyFont="true" applyBorder="true" applyAlignment="true" applyProtection="false">
      <alignment horizontal="center" vertical="center" textRotation="0" wrapText="false" indent="0" shrinkToFit="false"/>
      <protection locked="true" hidden="false"/>
    </xf>
    <xf numFmtId="167" fontId="7" fillId="0" borderId="0" xfId="22" applyFont="true" applyBorder="true" applyAlignment="true" applyProtection="false">
      <alignment horizontal="center" vertical="center" textRotation="0" wrapText="false" indent="0" shrinkToFit="false"/>
      <protection locked="true" hidden="false"/>
    </xf>
    <xf numFmtId="171" fontId="7" fillId="0" borderId="0" xfId="0" applyFont="true" applyBorder="false" applyAlignment="true" applyProtection="false">
      <alignment horizontal="center" vertical="center" textRotation="0" wrapText="false" indent="0" shrinkToFit="false"/>
      <protection locked="true" hidden="false"/>
    </xf>
    <xf numFmtId="171" fontId="7" fillId="0" borderId="4" xfId="0" applyFont="true" applyBorder="true" applyAlignment="true" applyProtection="false">
      <alignment horizontal="center" vertical="center" textRotation="0" wrapText="false" indent="0" shrinkToFit="false"/>
      <protection locked="true" hidden="false"/>
    </xf>
    <xf numFmtId="164" fontId="11" fillId="4" borderId="0" xfId="0" applyFont="true" applyBorder="false" applyAlignment="true" applyProtection="false">
      <alignment horizontal="general" vertical="center" textRotation="0" wrapText="false" indent="0" shrinkToFit="false"/>
      <protection locked="true" hidden="false"/>
    </xf>
    <xf numFmtId="168" fontId="7" fillId="0" borderId="0" xfId="0" applyFont="true" applyBorder="false" applyAlignment="true" applyProtection="false">
      <alignment horizontal="center" vertical="center" textRotation="0" wrapText="false" indent="0" shrinkToFit="false"/>
      <protection locked="true" hidden="false"/>
    </xf>
    <xf numFmtId="176" fontId="9" fillId="0" borderId="0" xfId="0" applyFont="true" applyBorder="false" applyAlignment="true" applyProtection="false">
      <alignment horizontal="center" vertical="center" textRotation="0" wrapText="false" indent="0" shrinkToFit="false"/>
      <protection locked="true" hidden="false"/>
    </xf>
    <xf numFmtId="177" fontId="7" fillId="0" borderId="0" xfId="0" applyFont="true" applyBorder="false" applyAlignment="true" applyProtection="false">
      <alignment horizontal="general" vertical="center" textRotation="0" wrapText="false" indent="0" shrinkToFit="false"/>
      <protection locked="true" hidden="false"/>
    </xf>
    <xf numFmtId="176" fontId="9" fillId="3" borderId="0" xfId="0" applyFont="true" applyBorder="false" applyAlignment="true" applyProtection="false">
      <alignment horizontal="center" vertical="center" textRotation="0" wrapText="false" indent="0" shrinkToFit="false"/>
      <protection locked="true" hidden="false"/>
    </xf>
    <xf numFmtId="177" fontId="7" fillId="3" borderId="0" xfId="0" applyFont="true" applyBorder="false" applyAlignment="true" applyProtection="false">
      <alignment horizontal="general" vertical="center" textRotation="0" wrapText="false" indent="0" shrinkToFit="false"/>
      <protection locked="true" hidden="false"/>
    </xf>
    <xf numFmtId="177" fontId="6" fillId="2"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8" fillId="3"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7" fillId="3" borderId="0" xfId="0" applyFont="true" applyBorder="false" applyAlignment="true" applyProtection="false">
      <alignment horizontal="center" vertical="center" textRotation="0" wrapText="false" indent="0" shrinkToFit="false"/>
      <protection locked="true" hidden="false"/>
    </xf>
    <xf numFmtId="169" fontId="8" fillId="3" borderId="2" xfId="0" applyFont="true" applyBorder="true" applyAlignment="true" applyProtection="false">
      <alignment horizontal="general" vertical="center" textRotation="0" wrapText="false" indent="0" shrinkToFit="false"/>
      <protection locked="true" hidden="false"/>
    </xf>
    <xf numFmtId="169" fontId="8" fillId="0" borderId="2" xfId="0" applyFont="true" applyBorder="true" applyAlignment="true" applyProtection="false">
      <alignment horizontal="general" vertical="center" textRotation="0" wrapText="false" indent="0" shrinkToFit="false"/>
      <protection locked="true" hidden="false"/>
    </xf>
    <xf numFmtId="171" fontId="9" fillId="3" borderId="0" xfId="0" applyFont="true" applyBorder="false" applyAlignment="true" applyProtection="false">
      <alignment horizontal="general" vertical="center" textRotation="0" wrapText="false" indent="0" shrinkToFit="false"/>
      <protection locked="true" hidden="false"/>
    </xf>
    <xf numFmtId="171" fontId="8" fillId="3" borderId="2" xfId="0" applyFont="true" applyBorder="true" applyAlignment="true" applyProtection="false">
      <alignment horizontal="general" vertical="center" textRotation="0" wrapText="false" indent="0" shrinkToFit="false"/>
      <protection locked="true" hidden="false"/>
    </xf>
    <xf numFmtId="171" fontId="9" fillId="0" borderId="0" xfId="0" applyFont="true" applyBorder="false" applyAlignment="true" applyProtection="false">
      <alignment horizontal="general" vertical="center" textRotation="0" wrapText="false" indent="0" shrinkToFit="false"/>
      <protection locked="true" hidden="false"/>
    </xf>
    <xf numFmtId="171" fontId="8" fillId="0" borderId="2" xfId="0" applyFont="true" applyBorder="true" applyAlignment="true" applyProtection="false">
      <alignment horizontal="general" vertical="center" textRotation="0" wrapText="false" indent="0" shrinkToFit="false"/>
      <protection locked="true" hidden="false"/>
    </xf>
    <xf numFmtId="170" fontId="9" fillId="3" borderId="0" xfId="0" applyFont="true" applyBorder="false" applyAlignment="true" applyProtection="false">
      <alignment horizontal="general" vertical="center" textRotation="0" wrapText="false" indent="0" shrinkToFit="false"/>
      <protection locked="true" hidden="false"/>
    </xf>
    <xf numFmtId="170" fontId="8" fillId="3" borderId="2" xfId="0" applyFont="true" applyBorder="true" applyAlignment="true" applyProtection="false">
      <alignment horizontal="general" vertical="center" textRotation="0" wrapText="false" indent="0" shrinkToFit="false"/>
      <protection locked="true" hidden="false"/>
    </xf>
    <xf numFmtId="170" fontId="7" fillId="3" borderId="0" xfId="0" applyFont="true" applyBorder="false" applyAlignment="true" applyProtection="false">
      <alignment horizontal="general" vertical="center" textRotation="0" wrapText="false" indent="0" shrinkToFit="false"/>
      <protection locked="true" hidden="false"/>
    </xf>
    <xf numFmtId="177" fontId="9" fillId="0" borderId="0" xfId="0" applyFont="true" applyBorder="false" applyAlignment="true" applyProtection="false">
      <alignment horizontal="general" vertical="center" textRotation="0" wrapText="false" indent="0" shrinkToFit="false"/>
      <protection locked="true" hidden="false"/>
    </xf>
    <xf numFmtId="177" fontId="8" fillId="0" borderId="2" xfId="0" applyFont="true" applyBorder="true" applyAlignment="true" applyProtection="false">
      <alignment horizontal="general" vertical="center" textRotation="0" wrapText="false" indent="0" shrinkToFit="false"/>
      <protection locked="true" hidden="false"/>
    </xf>
    <xf numFmtId="176" fontId="8" fillId="0" borderId="2" xfId="0" applyFont="true" applyBorder="true" applyAlignment="true" applyProtection="false">
      <alignment horizontal="center" vertical="center" textRotation="0" wrapText="false" indent="0" shrinkToFit="false"/>
      <protection locked="true" hidden="false"/>
    </xf>
    <xf numFmtId="178" fontId="8" fillId="0" borderId="2" xfId="0" applyFont="true" applyBorder="true" applyAlignment="true" applyProtection="false">
      <alignment horizontal="center" vertical="center" textRotation="0" wrapText="false" indent="0" shrinkToFit="false"/>
      <protection locked="true" hidden="false"/>
    </xf>
    <xf numFmtId="178" fontId="8" fillId="0" borderId="2" xfId="0" applyFont="true" applyBorder="true" applyAlignment="true" applyProtection="false">
      <alignment horizontal="general" vertical="center" textRotation="0" wrapText="false" indent="0" shrinkToFit="false"/>
      <protection locked="true" hidden="false"/>
    </xf>
    <xf numFmtId="164" fontId="8" fillId="3" borderId="2" xfId="0" applyFont="true" applyBorder="true" applyAlignment="true" applyProtection="false">
      <alignment horizontal="center" vertical="center" textRotation="0" wrapText="false" indent="0" shrinkToFit="false"/>
      <protection locked="true" hidden="false"/>
    </xf>
    <xf numFmtId="176" fontId="8" fillId="3" borderId="2" xfId="0" applyFont="true" applyBorder="true" applyAlignment="true" applyProtection="false">
      <alignment horizontal="center" vertical="center" textRotation="0" wrapText="false" indent="0" shrinkToFit="false"/>
      <protection locked="true" hidden="false"/>
    </xf>
    <xf numFmtId="178" fontId="8" fillId="3" borderId="2" xfId="0" applyFont="true" applyBorder="true" applyAlignment="true" applyProtection="false">
      <alignment horizontal="center" vertical="center" textRotation="0" wrapText="false" indent="0" shrinkToFit="false"/>
      <protection locked="true" hidden="false"/>
    </xf>
    <xf numFmtId="178" fontId="8" fillId="3" borderId="2" xfId="0" applyFont="true" applyBorder="true" applyAlignment="true" applyProtection="false">
      <alignment horizontal="general" vertical="center" textRotation="0" wrapText="false" indent="0" shrinkToFit="false"/>
      <protection locked="true" hidden="false"/>
    </xf>
    <xf numFmtId="167" fontId="8" fillId="0" borderId="2" xfId="22" applyFont="true" applyBorder="true" applyAlignment="true" applyProtection="false">
      <alignment horizontal="center" vertical="center" textRotation="0" wrapText="false" indent="0" shrinkToFit="false"/>
      <protection locked="true" hidden="false"/>
    </xf>
    <xf numFmtId="167" fontId="8" fillId="3" borderId="2" xfId="22" applyFont="true" applyBorder="true" applyAlignment="true" applyProtection="false">
      <alignment horizontal="center" vertical="center" textRotation="0" wrapText="false" indent="0" shrinkToFit="false"/>
      <protection locked="true" hidden="false"/>
    </xf>
    <xf numFmtId="167" fontId="6" fillId="2" borderId="0" xfId="22" applyFont="true" applyBorder="true" applyAlignment="true" applyProtection="false">
      <alignment horizontal="center" vertical="center" textRotation="0" wrapText="false" indent="0" shrinkToFit="false"/>
      <protection locked="true" hidden="false"/>
    </xf>
    <xf numFmtId="178" fontId="9" fillId="0" borderId="0" xfId="0" applyFont="true" applyBorder="false" applyAlignment="true" applyProtection="false">
      <alignment horizontal="center" vertical="center" textRotation="0" wrapText="false" indent="0" shrinkToFit="false"/>
      <protection locked="true" hidden="false"/>
    </xf>
    <xf numFmtId="178" fontId="9" fillId="3" borderId="0" xfId="0" applyFont="true" applyBorder="false" applyAlignment="true" applyProtection="false">
      <alignment horizontal="center" vertical="center"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JS SSP Currency" xfId="20"/>
    <cellStyle name="JS SSP Number" xfId="21"/>
    <cellStyle name="JS SSP Percent" xfId="22"/>
  </cellStyles>
  <dxfs count="3">
    <dxf>
      <fill>
        <patternFill>
          <bgColor rgb="FFF2DCDB"/>
        </patternFill>
      </fill>
    </dxf>
    <dxf>
      <fill>
        <patternFill>
          <bgColor rgb="FFE2EFDA"/>
        </patternFill>
      </fill>
    </dxf>
    <dxf>
      <fill>
        <patternFill>
          <bgColor rgb="FFD9E1F2"/>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2DCDB"/>
      <rgbColor rgb="FF3366FF"/>
      <rgbColor rgb="FF33CCCC"/>
      <rgbColor rgb="FF99CC00"/>
      <rgbColor rgb="FFFFCC00"/>
      <rgbColor rgb="FFFF9900"/>
      <rgbColor rgb="FFFF6600"/>
      <rgbColor rgb="FF666699"/>
      <rgbColor rgb="FF7F7F7F"/>
      <rgbColor rgb="FF0F2F5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2F51"/>
    <pageSetUpPr fitToPage="true"/>
  </sheetPr>
  <dimension ref="C1:C4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3"/>
    <col collapsed="false" customWidth="true" hidden="false" outlineLevel="0" max="3" min="3" style="0" width="150"/>
  </cols>
  <sheetData>
    <row r="1" customFormat="false" ht="15" hidden="false" customHeight="false" outlineLevel="0" collapsed="false">
      <c r="C1" s="1" t="s">
        <v>0</v>
      </c>
    </row>
    <row r="4" customFormat="false" ht="15" hidden="false" customHeight="false" outlineLevel="0" collapsed="false">
      <c r="C4" s="2" t="s">
        <v>1</v>
      </c>
    </row>
    <row r="5" customFormat="false" ht="30" hidden="false" customHeight="true" outlineLevel="0" collapsed="false">
      <c r="C5" s="3" t="s">
        <v>2</v>
      </c>
    </row>
    <row r="6" customFormat="false" ht="30" hidden="false" customHeight="true" outlineLevel="0" collapsed="false">
      <c r="C6" s="3" t="s">
        <v>3</v>
      </c>
    </row>
    <row r="8" customFormat="false" ht="15" hidden="false" customHeight="false" outlineLevel="0" collapsed="false">
      <c r="C8" s="2" t="s">
        <v>4</v>
      </c>
    </row>
    <row r="9" customFormat="false" ht="30" hidden="false" customHeight="true" outlineLevel="0" collapsed="false">
      <c r="C9" s="3" t="s">
        <v>5</v>
      </c>
    </row>
    <row r="10" customFormat="false" ht="15" hidden="false" customHeight="true" outlineLevel="0" collapsed="false">
      <c r="C10" s="3" t="s">
        <v>6</v>
      </c>
    </row>
    <row r="11" customFormat="false" ht="15" hidden="false" customHeight="true" outlineLevel="0" collapsed="false">
      <c r="C11" s="3" t="s">
        <v>7</v>
      </c>
    </row>
    <row r="12" customFormat="false" ht="15" hidden="false" customHeight="true" outlineLevel="0" collapsed="false">
      <c r="C12" s="3" t="s">
        <v>8</v>
      </c>
    </row>
    <row r="13" customFormat="false" ht="15" hidden="false" customHeight="true" outlineLevel="0" collapsed="false">
      <c r="C13" s="3" t="s">
        <v>9</v>
      </c>
    </row>
    <row r="14" customFormat="false" ht="30" hidden="false" customHeight="true" outlineLevel="0" collapsed="false">
      <c r="C14" s="3" t="s">
        <v>10</v>
      </c>
    </row>
    <row r="15" customFormat="false" ht="15" hidden="false" customHeight="true" outlineLevel="0" collapsed="false">
      <c r="C15" s="3" t="s">
        <v>11</v>
      </c>
    </row>
    <row r="16" customFormat="false" ht="15" hidden="false" customHeight="true" outlineLevel="0" collapsed="false">
      <c r="C16" s="3" t="s">
        <v>12</v>
      </c>
    </row>
    <row r="18" customFormat="false" ht="15" hidden="false" customHeight="false" outlineLevel="0" collapsed="false">
      <c r="C18" s="2" t="s">
        <v>13</v>
      </c>
    </row>
    <row r="19" customFormat="false" ht="15" hidden="false" customHeight="true" outlineLevel="0" collapsed="false">
      <c r="C19" s="3" t="s">
        <v>14</v>
      </c>
    </row>
    <row r="20" customFormat="false" ht="30" hidden="false" customHeight="true" outlineLevel="0" collapsed="false">
      <c r="C20" s="3" t="s">
        <v>15</v>
      </c>
    </row>
    <row r="22" customFormat="false" ht="15" hidden="false" customHeight="false" outlineLevel="0" collapsed="false">
      <c r="C22" s="2" t="s">
        <v>16</v>
      </c>
    </row>
    <row r="23" customFormat="false" ht="30" hidden="false" customHeight="true" outlineLevel="0" collapsed="false">
      <c r="C23" s="3" t="s">
        <v>17</v>
      </c>
    </row>
    <row r="24" customFormat="false" ht="30" hidden="false" customHeight="true" outlineLevel="0" collapsed="false">
      <c r="C24" s="3" t="s">
        <v>18</v>
      </c>
    </row>
    <row r="25" customFormat="false" ht="30" hidden="false" customHeight="true" outlineLevel="0" collapsed="false">
      <c r="C25" s="3" t="s">
        <v>19</v>
      </c>
    </row>
    <row r="27" customFormat="false" ht="15" hidden="false" customHeight="false" outlineLevel="0" collapsed="false">
      <c r="C27" s="2" t="s">
        <v>20</v>
      </c>
    </row>
    <row r="28" customFormat="false" ht="30" hidden="false" customHeight="true" outlineLevel="0" collapsed="false">
      <c r="C28" s="3" t="s">
        <v>21</v>
      </c>
    </row>
    <row r="29" customFormat="false" ht="15" hidden="false" customHeight="true" outlineLevel="0" collapsed="false">
      <c r="C29" s="3" t="s">
        <v>22</v>
      </c>
    </row>
    <row r="30" customFormat="false" ht="15" hidden="false" customHeight="true" outlineLevel="0" collapsed="false">
      <c r="C30" s="3" t="s">
        <v>23</v>
      </c>
    </row>
    <row r="31" customFormat="false" ht="30" hidden="false" customHeight="true" outlineLevel="0" collapsed="false">
      <c r="C31" s="3" t="s">
        <v>24</v>
      </c>
    </row>
    <row r="32" customFormat="false" ht="30" hidden="false" customHeight="true" outlineLevel="0" collapsed="false">
      <c r="C32" s="3" t="s">
        <v>25</v>
      </c>
    </row>
    <row r="33" customFormat="false" ht="30" hidden="false" customHeight="true" outlineLevel="0" collapsed="false">
      <c r="C33" s="3" t="s">
        <v>26</v>
      </c>
    </row>
    <row r="35" customFormat="false" ht="15" hidden="false" customHeight="false" outlineLevel="0" collapsed="false">
      <c r="C35" s="2" t="s">
        <v>27</v>
      </c>
    </row>
    <row r="36" customFormat="false" ht="30" hidden="false" customHeight="true" outlineLevel="0" collapsed="false">
      <c r="C36" s="3" t="s">
        <v>28</v>
      </c>
    </row>
    <row r="37" customFormat="false" ht="15" hidden="false" customHeight="true" outlineLevel="0" collapsed="false">
      <c r="C37" s="3" t="s">
        <v>29</v>
      </c>
    </row>
    <row r="38" customFormat="false" ht="15" hidden="false" customHeight="true" outlineLevel="0" collapsed="false">
      <c r="C38" s="3" t="s">
        <v>30</v>
      </c>
    </row>
    <row r="39" customFormat="false" ht="15" hidden="false" customHeight="true" outlineLevel="0" collapsed="false">
      <c r="C39" s="3" t="s">
        <v>31</v>
      </c>
    </row>
    <row r="40" customFormat="false" ht="30" hidden="false" customHeight="true" outlineLevel="0" collapsed="false">
      <c r="C40" s="3" t="s">
        <v>32</v>
      </c>
    </row>
    <row r="42" customFormat="false" ht="15" hidden="false" customHeight="false" outlineLevel="0" collapsed="false">
      <c r="C42" s="2" t="s">
        <v>33</v>
      </c>
    </row>
    <row r="43" customFormat="false" ht="30" hidden="false" customHeight="true" outlineLevel="0" collapsed="false">
      <c r="C43" s="3" t="s">
        <v>34</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&amp;L&amp;7 &amp;K9aa0a8CONFIDENTIAL&amp;R&amp;7 &amp;K9aa0a8&amp;P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2F51"/>
    <pageSetUpPr fitToPage="true"/>
  </sheetPr>
  <dimension ref="C1:W64"/>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
    <col collapsed="false" customWidth="true" hidden="false" outlineLevel="0" max="3" min="3" style="0" width="34"/>
    <col collapsed="false" customWidth="true" hidden="false" outlineLevel="0" max="4" min="4" style="0" width="16"/>
    <col collapsed="false" customWidth="true" hidden="false" outlineLevel="0" max="5" min="5" style="0" width="3"/>
    <col collapsed="false" customWidth="true" hidden="false" outlineLevel="0" max="6" min="6" style="0" width="24"/>
    <col collapsed="false" customWidth="true" hidden="false" outlineLevel="0" max="7" min="7" style="0" width="11"/>
    <col collapsed="false" customWidth="true" hidden="false" outlineLevel="0" max="8" min="8" style="0" width="15"/>
    <col collapsed="false" customWidth="true" hidden="false" outlineLevel="0" max="9" min="9" style="0" width="12"/>
    <col collapsed="false" customWidth="true" hidden="false" outlineLevel="0" max="10" min="10" style="0" width="15"/>
    <col collapsed="false" customWidth="true" hidden="false" outlineLevel="0" max="11" min="11" style="0" width="9"/>
    <col collapsed="false" customWidth="true" hidden="false" outlineLevel="0" max="17" min="12" style="0" width="11"/>
    <col collapsed="false" customWidth="true" hidden="false" outlineLevel="0" max="19" min="18" style="0" width="9"/>
    <col collapsed="false" customWidth="true" hidden="false" outlineLevel="0" max="20" min="20" style="0" width="10"/>
    <col collapsed="false" customWidth="true" hidden="false" outlineLevel="0" max="21" min="21" style="0" width="14"/>
    <col collapsed="false" customWidth="true" hidden="false" outlineLevel="0" max="22" min="22" style="0" width="9"/>
    <col collapsed="false" customWidth="true" hidden="false" outlineLevel="0" max="23" min="23" style="0" width="11"/>
  </cols>
  <sheetData>
    <row r="1" customFormat="false" ht="15" hidden="false" customHeight="false" outlineLevel="0" collapsed="false">
      <c r="C1" s="1" t="str">
        <f aca="false">Deal_Name&amp;" Capital Structure Control"</f>
        <v>RISE 2026-MF Capital Structure Control</v>
      </c>
      <c r="D1" s="4"/>
      <c r="E1" s="4"/>
      <c r="F1" s="4"/>
      <c r="G1" s="4"/>
      <c r="H1" s="4"/>
      <c r="I1" s="4"/>
      <c r="J1" s="4"/>
      <c r="K1" s="4"/>
      <c r="L1" s="4"/>
      <c r="M1" s="4"/>
      <c r="N1" s="4"/>
      <c r="O1" s="4"/>
      <c r="P1" s="4"/>
      <c r="Q1" s="4"/>
      <c r="R1" s="4"/>
      <c r="S1" s="4"/>
      <c r="T1" s="4"/>
      <c r="U1" s="4"/>
      <c r="V1" s="4"/>
      <c r="W1" s="4"/>
    </row>
    <row r="3" customFormat="false" ht="15" hidden="false" customHeight="false" outlineLevel="0" collapsed="false">
      <c r="C3" s="2" t="s">
        <v>35</v>
      </c>
      <c r="D3" s="5"/>
      <c r="F3" s="2" t="s">
        <v>36</v>
      </c>
      <c r="G3" s="5"/>
      <c r="H3" s="5" t="s">
        <v>37</v>
      </c>
    </row>
    <row r="4" customFormat="false" ht="15" hidden="false" customHeight="false" outlineLevel="0" collapsed="false">
      <c r="C4" s="6" t="s">
        <v>38</v>
      </c>
      <c r="D4" s="7" t="s">
        <v>39</v>
      </c>
      <c r="F4" s="6" t="s">
        <v>40</v>
      </c>
      <c r="H4" s="8" t="n">
        <v>0.0325</v>
      </c>
    </row>
    <row r="5" customFormat="false" ht="15" hidden="false" customHeight="false" outlineLevel="0" collapsed="false">
      <c r="C5" s="9" t="s">
        <v>41</v>
      </c>
      <c r="D5" s="10" t="n">
        <f aca="false">Total_Units</f>
        <v>4848</v>
      </c>
      <c r="F5" s="9" t="s">
        <v>42</v>
      </c>
      <c r="G5" s="11"/>
      <c r="H5" s="12" t="n">
        <v>0.0325</v>
      </c>
    </row>
    <row r="6" customFormat="false" ht="15" hidden="false" customHeight="false" outlineLevel="0" collapsed="false">
      <c r="C6" s="6" t="s">
        <v>43</v>
      </c>
      <c r="D6" s="13" t="n">
        <f aca="false">Rollup_NOI_TTM</f>
        <v>37557383</v>
      </c>
      <c r="F6" s="6" t="s">
        <v>44</v>
      </c>
      <c r="H6" s="14" t="n">
        <f aca="false">MIN(H4,H5)</f>
        <v>0.0325</v>
      </c>
    </row>
    <row r="7" customFormat="false" ht="15" hidden="false" customHeight="false" outlineLevel="0" collapsed="false">
      <c r="C7" s="9" t="s">
        <v>45</v>
      </c>
      <c r="D7" s="15" t="n">
        <f aca="false">Rollup_NOI_UW</f>
        <v>41209416</v>
      </c>
      <c r="F7" s="9" t="s">
        <v>46</v>
      </c>
      <c r="G7" s="11"/>
      <c r="H7" s="12" t="n">
        <v>0.11</v>
      </c>
    </row>
    <row r="8" customFormat="false" ht="15" hidden="false" customHeight="false" outlineLevel="0" collapsed="false">
      <c r="C8" s="6" t="s">
        <v>47</v>
      </c>
      <c r="D8" s="13" t="n">
        <f aca="false">Rollup_NCF_UW</f>
        <v>39948936</v>
      </c>
      <c r="F8" s="6" t="s">
        <v>48</v>
      </c>
      <c r="H8" s="16" t="n">
        <v>365</v>
      </c>
    </row>
    <row r="9" customFormat="false" ht="15" hidden="false" customHeight="false" outlineLevel="0" collapsed="false">
      <c r="C9" s="9" t="s">
        <v>49</v>
      </c>
      <c r="D9" s="15" t="n">
        <f aca="false">SSP_NOI_Total</f>
        <v>36519450.4775937</v>
      </c>
      <c r="F9" s="9" t="s">
        <v>50</v>
      </c>
      <c r="G9" s="11"/>
      <c r="H9" s="17" t="n">
        <v>360</v>
      </c>
    </row>
    <row r="10" customFormat="false" ht="15" hidden="false" customHeight="false" outlineLevel="0" collapsed="false">
      <c r="C10" s="6" t="s">
        <v>51</v>
      </c>
      <c r="D10" s="13" t="n">
        <f aca="false">SSP_NCF_Total</f>
        <v>35065050.4775937</v>
      </c>
      <c r="F10" s="6" t="s">
        <v>52</v>
      </c>
      <c r="H10" s="18" t="n">
        <f aca="false">H8/H9</f>
        <v>1.01388888888889</v>
      </c>
    </row>
    <row r="11" customFormat="false" ht="15" hidden="false" customHeight="false" outlineLevel="0" collapsed="false">
      <c r="C11" s="9" t="s">
        <v>53</v>
      </c>
      <c r="D11" s="15" t="n">
        <f aca="false">Appraised_Value_Portfolio</f>
        <v>759000000</v>
      </c>
      <c r="F11" s="19" t="s">
        <v>54</v>
      </c>
    </row>
    <row r="12" customFormat="false" ht="15" hidden="false" customHeight="false" outlineLevel="0" collapsed="false">
      <c r="C12" s="6" t="s">
        <v>55</v>
      </c>
      <c r="D12" s="13" t="n">
        <f aca="false">SSP_Value_Total</f>
        <v>631630000</v>
      </c>
    </row>
    <row r="13" customFormat="false" ht="15" hidden="false" customHeight="false" outlineLevel="0" collapsed="false">
      <c r="C13" s="9" t="s">
        <v>56</v>
      </c>
      <c r="D13" s="20" t="str">
        <f aca="false">Checks_Status</f>
        <v>OK</v>
      </c>
    </row>
    <row r="15" customFormat="false" ht="15" hidden="false" customHeight="false" outlineLevel="0" collapsed="false">
      <c r="F15" s="21" t="str">
        <f aca="false">Deal_Name&amp;" Capital Stack"</f>
        <v>RISE 2026-MF Capital Stack</v>
      </c>
    </row>
    <row r="16" customFormat="false" ht="43.5" hidden="false" customHeight="true" outlineLevel="0" collapsed="false">
      <c r="F16" s="22" t="s">
        <v>57</v>
      </c>
      <c r="G16" s="22" t="s">
        <v>58</v>
      </c>
      <c r="H16" s="22" t="s">
        <v>59</v>
      </c>
      <c r="I16" s="22" t="s">
        <v>60</v>
      </c>
      <c r="J16" s="22" t="s">
        <v>61</v>
      </c>
      <c r="K16" s="22" t="s">
        <v>62</v>
      </c>
      <c r="L16" s="22" t="s">
        <v>63</v>
      </c>
      <c r="M16" s="22" t="s">
        <v>64</v>
      </c>
      <c r="N16" s="22" t="s">
        <v>65</v>
      </c>
      <c r="O16" s="22" t="s">
        <v>66</v>
      </c>
      <c r="P16" s="22" t="s">
        <v>67</v>
      </c>
      <c r="Q16" s="22" t="s">
        <v>68</v>
      </c>
      <c r="R16" s="22" t="s">
        <v>69</v>
      </c>
      <c r="S16" s="22" t="s">
        <v>70</v>
      </c>
      <c r="T16" s="22" t="s">
        <v>71</v>
      </c>
      <c r="U16" s="22" t="s">
        <v>72</v>
      </c>
      <c r="V16" s="22" t="s">
        <v>73</v>
      </c>
      <c r="W16" s="22" t="s">
        <v>74</v>
      </c>
    </row>
    <row r="17" customFormat="false" ht="15" hidden="false" customHeight="false" outlineLevel="0" collapsed="false">
      <c r="F17" s="23" t="s">
        <v>75</v>
      </c>
      <c r="G17" s="24" t="s">
        <v>76</v>
      </c>
      <c r="H17" s="25" t="n">
        <f aca="false">I17*Mortgage_Bal</f>
        <v>290705000</v>
      </c>
      <c r="I17" s="26" t="n">
        <f aca="false">1-SUM(I18:I23)</f>
        <v>0.53</v>
      </c>
      <c r="J17" s="25" t="n">
        <f aca="false">SUM(H$17:H17)</f>
        <v>290705000</v>
      </c>
      <c r="K17" s="26" t="n">
        <f aca="false">SUM(H18:H$23)/$H$24</f>
        <v>0.47</v>
      </c>
      <c r="L17" s="25" t="n">
        <f aca="false">J17/$D$5</f>
        <v>59963.902640264</v>
      </c>
      <c r="M17" s="14" t="n">
        <f aca="false">$D$6/J17</f>
        <v>0.129194141827626</v>
      </c>
      <c r="N17" s="14" t="n">
        <f aca="false">$D$7/J17</f>
        <v>0.141756818768167</v>
      </c>
      <c r="O17" s="14" t="n">
        <f aca="false">$D$9/J17</f>
        <v>0.125623743924575</v>
      </c>
      <c r="P17" s="26" t="n">
        <f aca="false">J17/$D$11</f>
        <v>0.383010540184453</v>
      </c>
      <c r="Q17" s="26" t="n">
        <f aca="false">J17/$D$12</f>
        <v>0.460245713471494</v>
      </c>
      <c r="R17" s="16" t="n">
        <v>150</v>
      </c>
      <c r="S17" s="27" t="n">
        <f aca="false">SUMPRODUCT(R$17:R17,H$17:H17)/J17</f>
        <v>150</v>
      </c>
      <c r="T17" s="14" t="n">
        <f aca="false">SOFR_Index+R17/10000</f>
        <v>0.0475</v>
      </c>
      <c r="U17" s="28" t="n">
        <v>0</v>
      </c>
      <c r="V17" s="26" t="n">
        <f aca="false">IFERROR(U17/H17,0)</f>
        <v>0</v>
      </c>
      <c r="W17" s="29" t="str">
        <f aca="false">IF(SUM(U$17:U17)=0,"-",SUMPRODUCT(R$17:R17,U$17:U17)/SUM(U$17:U17))</f>
        <v>-</v>
      </c>
    </row>
    <row r="18" customFormat="false" ht="15" hidden="false" customHeight="false" outlineLevel="0" collapsed="false">
      <c r="F18" s="30" t="s">
        <v>77</v>
      </c>
      <c r="G18" s="31" t="s">
        <v>78</v>
      </c>
      <c r="H18" s="32" t="n">
        <f aca="false">I18*Mortgage_Bal</f>
        <v>54850000</v>
      </c>
      <c r="I18" s="33" t="n">
        <v>0.1</v>
      </c>
      <c r="J18" s="32" t="n">
        <f aca="false">SUM(H$17:H18)</f>
        <v>345555000</v>
      </c>
      <c r="K18" s="34" t="n">
        <f aca="false">SUM(H19:H$23)/$H$24</f>
        <v>0.37</v>
      </c>
      <c r="L18" s="32" t="n">
        <f aca="false">J18/$D$5</f>
        <v>71277.8465346535</v>
      </c>
      <c r="M18" s="35" t="n">
        <f aca="false">$D$6/J18</f>
        <v>0.10868713518832</v>
      </c>
      <c r="N18" s="35" t="n">
        <f aca="false">$D$7/J18</f>
        <v>0.119255736424014</v>
      </c>
      <c r="O18" s="35" t="n">
        <f aca="false">$D$9/J18</f>
        <v>0.105683467111151</v>
      </c>
      <c r="P18" s="34" t="n">
        <f aca="false">J18/$D$11</f>
        <v>0.455276679841897</v>
      </c>
      <c r="Q18" s="34" t="n">
        <f aca="false">J18/$D$12</f>
        <v>0.54708452733404</v>
      </c>
      <c r="R18" s="17" t="n">
        <v>190</v>
      </c>
      <c r="S18" s="36" t="n">
        <f aca="false">SUMPRODUCT(R$17:R18,H$17:H18)/J18</f>
        <v>156.349206349206</v>
      </c>
      <c r="T18" s="35" t="n">
        <f aca="false">SOFR_Index+R18/10000</f>
        <v>0.0515</v>
      </c>
      <c r="U18" s="37" t="n">
        <v>0</v>
      </c>
      <c r="V18" s="34" t="n">
        <f aca="false">IFERROR(U18/H18,0)</f>
        <v>0</v>
      </c>
      <c r="W18" s="38" t="str">
        <f aca="false">IF(SUM(U$17:U18)=0,"-",SUMPRODUCT(R$17:R18,U$17:U18)/SUM(U$17:U18))</f>
        <v>-</v>
      </c>
    </row>
    <row r="19" customFormat="false" ht="15" hidden="false" customHeight="false" outlineLevel="0" collapsed="false">
      <c r="F19" s="23" t="s">
        <v>79</v>
      </c>
      <c r="G19" s="24" t="s">
        <v>80</v>
      </c>
      <c r="H19" s="25" t="n">
        <f aca="false">I19*Mortgage_Bal</f>
        <v>43880000</v>
      </c>
      <c r="I19" s="39" t="n">
        <v>0.08</v>
      </c>
      <c r="J19" s="25" t="n">
        <f aca="false">SUM(H$17:H19)</f>
        <v>389435000</v>
      </c>
      <c r="K19" s="26" t="n">
        <f aca="false">SUM(H20:H$23)/$H$24</f>
        <v>0.29</v>
      </c>
      <c r="L19" s="25" t="n">
        <f aca="false">J19/$D$5</f>
        <v>80329.001650165</v>
      </c>
      <c r="M19" s="14" t="n">
        <f aca="false">$D$6/J19</f>
        <v>0.0964406974206222</v>
      </c>
      <c r="N19" s="14" t="n">
        <f aca="false">$D$7/J19</f>
        <v>0.105818470348068</v>
      </c>
      <c r="O19" s="14" t="n">
        <f aca="false">$D$9/J19</f>
        <v>0.0937754708169366</v>
      </c>
      <c r="P19" s="26" t="n">
        <f aca="false">J19/$D$11</f>
        <v>0.513089591567852</v>
      </c>
      <c r="Q19" s="26" t="n">
        <f aca="false">J19/$D$12</f>
        <v>0.616555578424077</v>
      </c>
      <c r="R19" s="16" t="n">
        <v>235</v>
      </c>
      <c r="S19" s="27" t="n">
        <f aca="false">SUMPRODUCT(R$17:R19,H$17:H19)/J19</f>
        <v>165.211267605634</v>
      </c>
      <c r="T19" s="14" t="n">
        <f aca="false">SOFR_Index+R19/10000</f>
        <v>0.056</v>
      </c>
      <c r="U19" s="28" t="n">
        <v>0</v>
      </c>
      <c r="V19" s="26" t="n">
        <f aca="false">IFERROR(U19/H19,0)</f>
        <v>0</v>
      </c>
      <c r="W19" s="29" t="str">
        <f aca="false">IF(SUM(U$17:U19)=0,"-",SUMPRODUCT(R$17:R19,U$17:U19)/SUM(U$17:U19))</f>
        <v>-</v>
      </c>
    </row>
    <row r="20" customFormat="false" ht="15" hidden="false" customHeight="false" outlineLevel="0" collapsed="false">
      <c r="F20" s="30" t="s">
        <v>81</v>
      </c>
      <c r="G20" s="31" t="s">
        <v>82</v>
      </c>
      <c r="H20" s="32" t="n">
        <f aca="false">I20*Mortgage_Bal</f>
        <v>46622500</v>
      </c>
      <c r="I20" s="33" t="n">
        <v>0.085</v>
      </c>
      <c r="J20" s="32" t="n">
        <f aca="false">SUM(H$17:H20)</f>
        <v>436057500</v>
      </c>
      <c r="K20" s="34" t="n">
        <f aca="false">SUM(H21:H$23)/$H$24</f>
        <v>0.205</v>
      </c>
      <c r="L20" s="32" t="n">
        <f aca="false">J20/$D$5</f>
        <v>89945.853960396</v>
      </c>
      <c r="M20" s="35" t="n">
        <f aca="false">$D$6/J20</f>
        <v>0.086129427885084</v>
      </c>
      <c r="N20" s="35" t="n">
        <f aca="false">$D$7/J20</f>
        <v>0.0945045458454447</v>
      </c>
      <c r="O20" s="35" t="n">
        <f aca="false">$D$9/J20</f>
        <v>0.0837491626163836</v>
      </c>
      <c r="P20" s="34" t="n">
        <f aca="false">J20/$D$11</f>
        <v>0.57451581027668</v>
      </c>
      <c r="Q20" s="34" t="n">
        <f aca="false">J20/$D$12</f>
        <v>0.690368570207242</v>
      </c>
      <c r="R20" s="17" t="n">
        <v>300</v>
      </c>
      <c r="S20" s="36" t="n">
        <f aca="false">SUMPRODUCT(R$17:R20,H$17:H20)/J20</f>
        <v>179.622641509434</v>
      </c>
      <c r="T20" s="35" t="n">
        <f aca="false">SOFR_Index+R20/10000</f>
        <v>0.0625</v>
      </c>
      <c r="U20" s="37" t="n">
        <v>0</v>
      </c>
      <c r="V20" s="34" t="n">
        <f aca="false">IFERROR(U20/H20,0)</f>
        <v>0</v>
      </c>
      <c r="W20" s="38" t="str">
        <f aca="false">IF(SUM(U$17:U20)=0,"-",SUMPRODUCT(R$17:R20,U$17:U20)/SUM(U$17:U20))</f>
        <v>-</v>
      </c>
    </row>
    <row r="21" customFormat="false" ht="15" hidden="false" customHeight="false" outlineLevel="0" collapsed="false">
      <c r="F21" s="23" t="s">
        <v>83</v>
      </c>
      <c r="G21" s="24" t="s">
        <v>84</v>
      </c>
      <c r="H21" s="25" t="n">
        <f aca="false">I21*Mortgage_Bal</f>
        <v>41137500</v>
      </c>
      <c r="I21" s="39" t="n">
        <v>0.075</v>
      </c>
      <c r="J21" s="25" t="n">
        <f aca="false">SUM(H$17:H21)</f>
        <v>477195000</v>
      </c>
      <c r="K21" s="26" t="n">
        <f aca="false">SUM(H22:H$23)/$H$24</f>
        <v>0.13</v>
      </c>
      <c r="L21" s="25" t="n">
        <f aca="false">J21/$D$5</f>
        <v>98431.3118811881</v>
      </c>
      <c r="M21" s="14" t="n">
        <f aca="false">$D$6/J21</f>
        <v>0.0787044772053353</v>
      </c>
      <c r="N21" s="14" t="n">
        <f aca="false">$D$7/J21</f>
        <v>0.0863576022380788</v>
      </c>
      <c r="O21" s="14" t="n">
        <f aca="false">$D$9/J21</f>
        <v>0.0765294072184195</v>
      </c>
      <c r="P21" s="26" t="n">
        <f aca="false">J21/$D$11</f>
        <v>0.628715415019763</v>
      </c>
      <c r="Q21" s="26" t="n">
        <f aca="false">J21/$D$12</f>
        <v>0.755497680604151</v>
      </c>
      <c r="R21" s="16" t="n">
        <v>400</v>
      </c>
      <c r="S21" s="27" t="n">
        <f aca="false">SUMPRODUCT(R$17:R21,H$17:H21)/J21</f>
        <v>198.620689655172</v>
      </c>
      <c r="T21" s="14" t="n">
        <f aca="false">SOFR_Index+R21/10000</f>
        <v>0.0725</v>
      </c>
      <c r="U21" s="28" t="n">
        <v>0</v>
      </c>
      <c r="V21" s="26" t="n">
        <f aca="false">IFERROR(U21/H21,0)</f>
        <v>0</v>
      </c>
      <c r="W21" s="29" t="str">
        <f aca="false">IF(SUM(U$17:U21)=0,"-",SUMPRODUCT(R$17:R21,U$17:U21)/SUM(U$17:U21))</f>
        <v>-</v>
      </c>
    </row>
    <row r="22" customFormat="false" ht="15" hidden="false" customHeight="false" outlineLevel="0" collapsed="false">
      <c r="F22" s="30" t="s">
        <v>85</v>
      </c>
      <c r="G22" s="31" t="s">
        <v>86</v>
      </c>
      <c r="H22" s="32" t="n">
        <f aca="false">I22*Mortgage_Bal</f>
        <v>43880000</v>
      </c>
      <c r="I22" s="33" t="n">
        <v>0.08</v>
      </c>
      <c r="J22" s="32" t="n">
        <f aca="false">SUM(H$17:H22)</f>
        <v>521075000</v>
      </c>
      <c r="K22" s="34" t="n">
        <f aca="false">SUM(H23:H$23)/$H$24</f>
        <v>0.05</v>
      </c>
      <c r="L22" s="32" t="n">
        <f aca="false">J22/$D$5</f>
        <v>107482.4669967</v>
      </c>
      <c r="M22" s="35" t="n">
        <f aca="false">$D$6/J22</f>
        <v>0.072076731756465</v>
      </c>
      <c r="N22" s="35" t="n">
        <f aca="false">$D$7/J22</f>
        <v>0.0790853831022406</v>
      </c>
      <c r="O22" s="35" t="n">
        <f aca="false">$D$9/J22</f>
        <v>0.070084825557921</v>
      </c>
      <c r="P22" s="34" t="n">
        <f aca="false">J22/$D$11</f>
        <v>0.686528326745718</v>
      </c>
      <c r="Q22" s="34" t="n">
        <f aca="false">J22/$D$12</f>
        <v>0.824968731694188</v>
      </c>
      <c r="R22" s="17" t="n">
        <v>525</v>
      </c>
      <c r="S22" s="36" t="n">
        <f aca="false">SUMPRODUCT(R$17:R22,H$17:H22)/J22</f>
        <v>226.105263157895</v>
      </c>
      <c r="T22" s="35" t="n">
        <f aca="false">SOFR_Index+R22/10000</f>
        <v>0.085</v>
      </c>
      <c r="U22" s="37" t="n">
        <v>0</v>
      </c>
      <c r="V22" s="34" t="n">
        <f aca="false">IFERROR(U22/H22,0)</f>
        <v>0</v>
      </c>
      <c r="W22" s="38" t="str">
        <f aca="false">IF(SUM(U$17:U22)=0,"-",SUMPRODUCT(R$17:R22,U$17:U22)/SUM(U$17:U22))</f>
        <v>-</v>
      </c>
    </row>
    <row r="23" customFormat="false" ht="15" hidden="false" customHeight="false" outlineLevel="0" collapsed="false">
      <c r="F23" s="23" t="s">
        <v>87</v>
      </c>
      <c r="G23" s="24" t="s">
        <v>88</v>
      </c>
      <c r="H23" s="25" t="n">
        <f aca="false">I23*Mortgage_Bal</f>
        <v>27425000</v>
      </c>
      <c r="I23" s="39" t="n">
        <v>0.05</v>
      </c>
      <c r="J23" s="25" t="n">
        <f aca="false">SUM(H$17:H23)</f>
        <v>548500000</v>
      </c>
      <c r="K23" s="40" t="s">
        <v>89</v>
      </c>
      <c r="L23" s="25" t="n">
        <f aca="false">J23/$D$5</f>
        <v>113139.438943894</v>
      </c>
      <c r="M23" s="14" t="n">
        <f aca="false">$D$6/J23</f>
        <v>0.0684728951686418</v>
      </c>
      <c r="N23" s="14" t="n">
        <f aca="false">$D$7/J23</f>
        <v>0.0751311139471285</v>
      </c>
      <c r="O23" s="14" t="n">
        <f aca="false">$D$9/J23</f>
        <v>0.066580584280025</v>
      </c>
      <c r="P23" s="26" t="n">
        <f aca="false">J23/$D$11</f>
        <v>0.72266139657444</v>
      </c>
      <c r="Q23" s="26" t="n">
        <f aca="false">J23/$D$12</f>
        <v>0.868388138625461</v>
      </c>
      <c r="R23" s="16" t="n">
        <v>700</v>
      </c>
      <c r="S23" s="27" t="n">
        <f aca="false">SUMPRODUCT(R$17:R23,H$17:H23)/J23</f>
        <v>249.8</v>
      </c>
      <c r="T23" s="14" t="n">
        <f aca="false">SOFR_Index+R23/10000</f>
        <v>0.1025</v>
      </c>
      <c r="U23" s="28" t="n">
        <v>0</v>
      </c>
      <c r="V23" s="26" t="n">
        <f aca="false">IFERROR(U23/H23,0)</f>
        <v>0</v>
      </c>
      <c r="W23" s="29" t="str">
        <f aca="false">IF(SUM(U$17:U23)=0,"-",SUMPRODUCT(R$17:R23,U$17:U23)/SUM(U$17:U23))</f>
        <v>-</v>
      </c>
    </row>
    <row r="24" customFormat="false" ht="15" hidden="false" customHeight="false" outlineLevel="0" collapsed="false">
      <c r="F24" s="41" t="s">
        <v>90</v>
      </c>
      <c r="G24" s="42"/>
      <c r="H24" s="43" t="n">
        <f aca="false">SUM(H17:H23)</f>
        <v>548500000</v>
      </c>
      <c r="I24" s="44" t="n">
        <f aca="false">SUM(I17:I23)</f>
        <v>1</v>
      </c>
      <c r="J24" s="43" t="n">
        <f aca="false">H24</f>
        <v>548500000</v>
      </c>
      <c r="K24" s="45" t="s">
        <v>89</v>
      </c>
      <c r="L24" s="43" t="n">
        <f aca="false">J24/$D$5</f>
        <v>113139.438943894</v>
      </c>
      <c r="M24" s="46" t="n">
        <f aca="false">$D$6/J24</f>
        <v>0.0684728951686418</v>
      </c>
      <c r="N24" s="46" t="n">
        <f aca="false">$D$7/J24</f>
        <v>0.0751311139471285</v>
      </c>
      <c r="O24" s="46" t="n">
        <f aca="false">$D$9/J24</f>
        <v>0.066580584280025</v>
      </c>
      <c r="P24" s="44" t="n">
        <f aca="false">J24/$D$11</f>
        <v>0.72266139657444</v>
      </c>
      <c r="Q24" s="44" t="n">
        <f aca="false">J24/$D$12</f>
        <v>0.868388138625461</v>
      </c>
      <c r="R24" s="47" t="n">
        <f aca="false">SUMPRODUCT(R17:R23,H17:H23)/H24</f>
        <v>249.8</v>
      </c>
      <c r="S24" s="47" t="n">
        <f aca="false">R24</f>
        <v>249.8</v>
      </c>
      <c r="T24" s="46" t="n">
        <f aca="false">SOFR_Index+R24/10000</f>
        <v>0.05748</v>
      </c>
      <c r="U24" s="43" t="n">
        <f aca="false">SUM(U17:U23)</f>
        <v>0</v>
      </c>
      <c r="V24" s="44" t="n">
        <f aca="false">IFERROR(U24/H24,0)</f>
        <v>0</v>
      </c>
      <c r="W24" s="48" t="str">
        <f aca="false">IF(U24=0,"-",SUMPRODUCT(R17:R23,U17:U23)/U24)</f>
        <v>-</v>
      </c>
    </row>
    <row r="25" customFormat="false" ht="15" hidden="false" customHeight="false" outlineLevel="0" collapsed="false">
      <c r="F25" s="6" t="s">
        <v>91</v>
      </c>
      <c r="H25" s="49" t="n">
        <f aca="false">Mezz_Bal</f>
        <v>50000000</v>
      </c>
      <c r="I25" s="26" t="n">
        <f aca="false">H25/H24</f>
        <v>0.0911577028258888</v>
      </c>
      <c r="J25" s="25" t="n">
        <f aca="false">J24+H25</f>
        <v>598500000</v>
      </c>
      <c r="K25" s="40" t="s">
        <v>89</v>
      </c>
      <c r="L25" s="25" t="n">
        <f aca="false">J25/$D$5</f>
        <v>123452.97029703</v>
      </c>
      <c r="M25" s="14" t="n">
        <f aca="false">$D$6/J25</f>
        <v>0.0627525196324144</v>
      </c>
      <c r="N25" s="14" t="n">
        <f aca="false">$D$7/J25</f>
        <v>0.0688544962406015</v>
      </c>
      <c r="O25" s="14" t="n">
        <f aca="false">$D$9/J25</f>
        <v>0.0610182965373328</v>
      </c>
      <c r="P25" s="26" t="n">
        <f aca="false">J25/$D$11</f>
        <v>0.788537549407115</v>
      </c>
      <c r="Q25" s="26" t="n">
        <f aca="false">J25/$D$12</f>
        <v>0.947548406503808</v>
      </c>
      <c r="T25" s="14" t="n">
        <f aca="false">Mezz_Rate</f>
        <v>0.11</v>
      </c>
    </row>
    <row r="26" customFormat="false" ht="15" hidden="false" customHeight="false" outlineLevel="0" collapsed="false">
      <c r="F26" s="9" t="s">
        <v>92</v>
      </c>
      <c r="G26" s="11"/>
      <c r="H26" s="32" t="n">
        <f aca="false">$D$11-J25</f>
        <v>160500000</v>
      </c>
      <c r="I26" s="11"/>
      <c r="J26" s="11"/>
      <c r="K26" s="11"/>
      <c r="L26" s="11"/>
      <c r="M26" s="11"/>
      <c r="N26" s="11"/>
      <c r="O26" s="11"/>
      <c r="P26" s="11"/>
      <c r="Q26" s="11"/>
      <c r="R26" s="11"/>
      <c r="S26" s="11"/>
      <c r="T26" s="11"/>
      <c r="U26" s="11"/>
      <c r="V26" s="11"/>
      <c r="W26" s="11"/>
    </row>
    <row r="27" customFormat="false" ht="15" hidden="false" customHeight="false" outlineLevel="0" collapsed="false">
      <c r="F27" s="6" t="s">
        <v>93</v>
      </c>
      <c r="H27" s="25" t="n">
        <f aca="false">$D$12-J25</f>
        <v>33130000</v>
      </c>
    </row>
    <row r="28" customFormat="false" ht="15" hidden="false" customHeight="false" outlineLevel="0" collapsed="false">
      <c r="F28" s="19" t="s">
        <v>94</v>
      </c>
    </row>
    <row r="31" customFormat="false" ht="15" hidden="false" customHeight="false" outlineLevel="0" collapsed="false">
      <c r="F31" s="21" t="s">
        <v>95</v>
      </c>
    </row>
    <row r="32" customFormat="false" ht="18" hidden="false" customHeight="true" outlineLevel="0" collapsed="false">
      <c r="F32" s="22" t="s">
        <v>57</v>
      </c>
      <c r="G32" s="22" t="s">
        <v>59</v>
      </c>
      <c r="H32" s="22" t="s">
        <v>96</v>
      </c>
      <c r="I32" s="22" t="s">
        <v>97</v>
      </c>
      <c r="J32" s="22" t="s">
        <v>98</v>
      </c>
    </row>
    <row r="33" customFormat="false" ht="15" hidden="false" customHeight="false" outlineLevel="0" collapsed="false">
      <c r="F33" s="23" t="str">
        <f aca="false">F17</f>
        <v>A</v>
      </c>
      <c r="G33" s="25" t="n">
        <f aca="false">H17</f>
        <v>290705000</v>
      </c>
      <c r="H33" s="14" t="n">
        <f aca="false">R17/10000</f>
        <v>0.015</v>
      </c>
      <c r="I33" s="14" t="n">
        <f aca="false">SOFR_Index</f>
        <v>0.0325</v>
      </c>
      <c r="J33" s="25" t="n">
        <f aca="false">G33*(H33+I33)*Accrual</f>
        <v>14000272.0486111</v>
      </c>
    </row>
    <row r="34" customFormat="false" ht="15" hidden="false" customHeight="false" outlineLevel="0" collapsed="false">
      <c r="F34" s="30" t="str">
        <f aca="false">F18</f>
        <v>B</v>
      </c>
      <c r="G34" s="32" t="n">
        <f aca="false">H18</f>
        <v>54850000</v>
      </c>
      <c r="H34" s="35" t="n">
        <f aca="false">R18/10000</f>
        <v>0.019</v>
      </c>
      <c r="I34" s="35" t="n">
        <f aca="false">SOFR_Index</f>
        <v>0.0325</v>
      </c>
      <c r="J34" s="32" t="n">
        <f aca="false">G34*(H34+I34)*Accrual</f>
        <v>2864007.98611111</v>
      </c>
    </row>
    <row r="35" customFormat="false" ht="15" hidden="false" customHeight="false" outlineLevel="0" collapsed="false">
      <c r="F35" s="23" t="str">
        <f aca="false">F19</f>
        <v>C</v>
      </c>
      <c r="G35" s="25" t="n">
        <f aca="false">H19</f>
        <v>43880000</v>
      </c>
      <c r="H35" s="14" t="n">
        <f aca="false">R19/10000</f>
        <v>0.0235</v>
      </c>
      <c r="I35" s="14" t="n">
        <f aca="false">SOFR_Index</f>
        <v>0.0325</v>
      </c>
      <c r="J35" s="25" t="n">
        <f aca="false">G35*(H35+I35)*Accrual</f>
        <v>2491408.88888889</v>
      </c>
    </row>
    <row r="36" customFormat="false" ht="15" hidden="false" customHeight="false" outlineLevel="0" collapsed="false">
      <c r="F36" s="30" t="str">
        <f aca="false">F20</f>
        <v>D</v>
      </c>
      <c r="G36" s="32" t="n">
        <f aca="false">H20</f>
        <v>46622500</v>
      </c>
      <c r="H36" s="35" t="n">
        <f aca="false">R20/10000</f>
        <v>0.03</v>
      </c>
      <c r="I36" s="35" t="n">
        <f aca="false">SOFR_Index</f>
        <v>0.0325</v>
      </c>
      <c r="J36" s="32" t="n">
        <f aca="false">G36*(H36+I36)*Accrual</f>
        <v>2954377.17013889</v>
      </c>
    </row>
    <row r="37" customFormat="false" ht="15" hidden="false" customHeight="false" outlineLevel="0" collapsed="false">
      <c r="F37" s="23" t="str">
        <f aca="false">F21</f>
        <v>E</v>
      </c>
      <c r="G37" s="25" t="n">
        <f aca="false">H21</f>
        <v>41137500</v>
      </c>
      <c r="H37" s="14" t="n">
        <f aca="false">R21/10000</f>
        <v>0.04</v>
      </c>
      <c r="I37" s="14" t="n">
        <f aca="false">SOFR_Index</f>
        <v>0.0325</v>
      </c>
      <c r="J37" s="25" t="n">
        <f aca="false">G37*(H37+I37)*Accrual</f>
        <v>3023891.92708333</v>
      </c>
    </row>
    <row r="38" customFormat="false" ht="15" hidden="false" customHeight="false" outlineLevel="0" collapsed="false">
      <c r="F38" s="30" t="str">
        <f aca="false">F22</f>
        <v>F</v>
      </c>
      <c r="G38" s="32" t="n">
        <f aca="false">H22</f>
        <v>43880000</v>
      </c>
      <c r="H38" s="35" t="n">
        <f aca="false">R22/10000</f>
        <v>0.0525</v>
      </c>
      <c r="I38" s="35" t="n">
        <f aca="false">SOFR_Index</f>
        <v>0.0325</v>
      </c>
      <c r="J38" s="32" t="n">
        <f aca="false">G38*(H38+I38)*Accrual</f>
        <v>3781602.77777778</v>
      </c>
    </row>
    <row r="39" customFormat="false" ht="15" hidden="false" customHeight="false" outlineLevel="0" collapsed="false">
      <c r="F39" s="23" t="str">
        <f aca="false">F23</f>
        <v>HRR</v>
      </c>
      <c r="G39" s="25" t="n">
        <f aca="false">H23</f>
        <v>27425000</v>
      </c>
      <c r="H39" s="14" t="n">
        <f aca="false">R23/10000</f>
        <v>0.07</v>
      </c>
      <c r="I39" s="14" t="n">
        <f aca="false">SOFR_Index</f>
        <v>0.0325</v>
      </c>
      <c r="J39" s="25" t="n">
        <f aca="false">G39*(H39+I39)*Accrual</f>
        <v>2850105.03472222</v>
      </c>
    </row>
    <row r="40" customFormat="false" ht="15" hidden="false" customHeight="false" outlineLevel="0" collapsed="false">
      <c r="F40" s="41" t="s">
        <v>99</v>
      </c>
      <c r="G40" s="43" t="n">
        <f aca="false">SUM(G33:G39)</f>
        <v>548500000</v>
      </c>
      <c r="H40" s="50" t="n">
        <f aca="false">SUMPRODUCT(G33:G39,H33:H39)/G40</f>
        <v>0.02498</v>
      </c>
      <c r="I40" s="46" t="n">
        <f aca="false">SOFR_Index</f>
        <v>0.0325</v>
      </c>
      <c r="J40" s="43" t="n">
        <f aca="false">SUM(J33:J39)</f>
        <v>31965665.8333333</v>
      </c>
    </row>
    <row r="41" customFormat="false" ht="15" hidden="false" customHeight="false" outlineLevel="0" collapsed="false">
      <c r="F41" s="9" t="s">
        <v>100</v>
      </c>
      <c r="G41" s="51" t="n">
        <f aca="false">Mezz_Bal</f>
        <v>50000000</v>
      </c>
      <c r="H41" s="35" t="n">
        <f aca="false">Mezz_Rate</f>
        <v>0.11</v>
      </c>
      <c r="I41" s="12" t="n">
        <v>0</v>
      </c>
      <c r="J41" s="32" t="n">
        <f aca="false">G41*(H41+I41)*Accrual</f>
        <v>5576388.88888889</v>
      </c>
    </row>
    <row r="42" customFormat="false" ht="15" hidden="false" customHeight="false" outlineLevel="0" collapsed="false">
      <c r="F42" s="52" t="s">
        <v>101</v>
      </c>
      <c r="G42" s="53" t="n">
        <f aca="false">G40+G41</f>
        <v>598500000</v>
      </c>
      <c r="J42" s="53" t="n">
        <f aca="false">J40+J41</f>
        <v>37542054.7222222</v>
      </c>
    </row>
    <row r="43" customFormat="false" ht="15" hidden="false" customHeight="false" outlineLevel="0" collapsed="false">
      <c r="F43" s="9" t="s">
        <v>102</v>
      </c>
      <c r="G43" s="11"/>
      <c r="H43" s="11"/>
      <c r="I43" s="11"/>
      <c r="J43" s="32" t="n">
        <f aca="false">SUMPRODUCT(G33:G39,H33:H39)*Accrual</f>
        <v>13891829.0277778</v>
      </c>
    </row>
    <row r="45" customFormat="false" ht="15" hidden="false" customHeight="false" outlineLevel="0" collapsed="false">
      <c r="F45" s="21" t="s">
        <v>103</v>
      </c>
    </row>
    <row r="47" customFormat="false" ht="30" hidden="false" customHeight="true" outlineLevel="0" collapsed="false">
      <c r="F47" s="22" t="s">
        <v>104</v>
      </c>
      <c r="G47" s="22" t="s">
        <v>105</v>
      </c>
      <c r="H47" s="22" t="s">
        <v>106</v>
      </c>
      <c r="I47" s="22" t="s">
        <v>107</v>
      </c>
      <c r="J47" s="22" t="s">
        <v>108</v>
      </c>
      <c r="K47" s="22" t="s">
        <v>109</v>
      </c>
      <c r="L47" s="22" t="s">
        <v>110</v>
      </c>
    </row>
    <row r="48" customFormat="false" ht="15" hidden="false" customHeight="false" outlineLevel="0" collapsed="false">
      <c r="F48" s="6" t="s">
        <v>111</v>
      </c>
      <c r="G48" s="14" t="n">
        <f aca="false">$D$6/Mortgage_Total</f>
        <v>0.0684728951686418</v>
      </c>
      <c r="H48" s="14" t="n">
        <f aca="false">$D$7/Mortgage_Total</f>
        <v>0.0751311139471285</v>
      </c>
      <c r="I48" s="14" t="n">
        <f aca="false">$D$9/Mortgage_Total</f>
        <v>0.066580584280025</v>
      </c>
      <c r="J48" s="14" t="n">
        <f aca="false">$D$6/TotalDebt_Total</f>
        <v>0.0627525196324144</v>
      </c>
      <c r="K48" s="14" t="n">
        <f aca="false">$D$7/TotalDebt_Total</f>
        <v>0.0688544962406015</v>
      </c>
      <c r="L48" s="14" t="n">
        <f aca="false">$D$9/TotalDebt_Total</f>
        <v>0.0610182965373328</v>
      </c>
    </row>
    <row r="49" customFormat="false" ht="15" hidden="false" customHeight="false" outlineLevel="0" collapsed="false">
      <c r="F49" s="9" t="s">
        <v>112</v>
      </c>
      <c r="G49" s="35" t="n">
        <f aca="false">Rollup_NCF_TTM/Mortgage_Total</f>
        <v>0.0684728951686418</v>
      </c>
      <c r="H49" s="35" t="n">
        <f aca="false">$D$8/Mortgage_Total</f>
        <v>0.072833064721969</v>
      </c>
      <c r="I49" s="35" t="n">
        <f aca="false">$D$10/Mortgage_Total</f>
        <v>0.0639289890202255</v>
      </c>
      <c r="J49" s="35" t="n">
        <f aca="false">Rollup_NCF_TTM/TotalDebt_Total</f>
        <v>0.0627525196324144</v>
      </c>
      <c r="K49" s="35" t="n">
        <f aca="false">$D$8/TotalDebt_Total</f>
        <v>0.0667484310776942</v>
      </c>
      <c r="L49" s="35" t="n">
        <f aca="false">$D$10/TotalDebt_Total</f>
        <v>0.0585882213493629</v>
      </c>
    </row>
    <row r="50" customFormat="false" ht="15" hidden="false" customHeight="false" outlineLevel="0" collapsed="false">
      <c r="F50" s="6" t="s">
        <v>113</v>
      </c>
      <c r="G50" s="54" t="n">
        <f aca="false">$D$6/Mtg_Interest</f>
        <v>1.17492885009252</v>
      </c>
      <c r="H50" s="54" t="n">
        <f aca="false">$D$7/Mtg_Interest</f>
        <v>1.28917746355927</v>
      </c>
      <c r="I50" s="54" t="n">
        <f aca="false">$D$9/Mtg_Interest</f>
        <v>1.14245862007078</v>
      </c>
      <c r="J50" s="54" t="n">
        <f aca="false">$D$6/TotalDebt_Interest</f>
        <v>1.00040829618654</v>
      </c>
      <c r="K50" s="54" t="n">
        <f aca="false">$D$7/TotalDebt_Interest</f>
        <v>1.09768674903153</v>
      </c>
      <c r="L50" s="54" t="n">
        <f aca="false">$D$9/TotalDebt_Interest</f>
        <v>0.972761100792301</v>
      </c>
    </row>
    <row r="51" customFormat="false" ht="15" hidden="false" customHeight="false" outlineLevel="0" collapsed="false">
      <c r="F51" s="9" t="s">
        <v>114</v>
      </c>
      <c r="G51" s="55" t="n">
        <f aca="false">Rollup_NCF_TTM/Mtg_Interest</f>
        <v>1.17492885009252</v>
      </c>
      <c r="H51" s="55" t="n">
        <f aca="false">$D$8/Mtg_Interest</f>
        <v>1.24974515495128</v>
      </c>
      <c r="I51" s="55" t="n">
        <f aca="false">$D$10/Mtg_Interest</f>
        <v>1.09695980244617</v>
      </c>
      <c r="J51" s="55" t="n">
        <f aca="false">Rollup_NCF_TTM/TotalDebt_Interest</f>
        <v>1.00040829618654</v>
      </c>
      <c r="K51" s="55" t="n">
        <f aca="false">$D$8/TotalDebt_Interest</f>
        <v>1.06411160219084</v>
      </c>
      <c r="L51" s="55" t="n">
        <f aca="false">$D$10/TotalDebt_Interest</f>
        <v>0.934020546745346</v>
      </c>
    </row>
    <row r="52" customFormat="false" ht="15" hidden="false" customHeight="false" outlineLevel="0" collapsed="false">
      <c r="F52" s="9" t="s">
        <v>115</v>
      </c>
      <c r="G52" s="34" t="n">
        <f aca="false">Mortgage_Total/$D$11</f>
        <v>0.72266139657444</v>
      </c>
      <c r="H52" s="11"/>
      <c r="I52" s="11"/>
      <c r="J52" s="34" t="n">
        <f aca="false">TotalDebt_Total/$D$11</f>
        <v>0.788537549407115</v>
      </c>
      <c r="K52" s="11"/>
      <c r="L52" s="11"/>
    </row>
    <row r="53" customFormat="false" ht="15" hidden="false" customHeight="false" outlineLevel="0" collapsed="false">
      <c r="F53" s="6" t="s">
        <v>116</v>
      </c>
      <c r="G53" s="26" t="n">
        <f aca="false">Mortgage_Total/$D$12</f>
        <v>0.868388138625461</v>
      </c>
      <c r="J53" s="26" t="n">
        <f aca="false">TotalDebt_Total/$D$12</f>
        <v>0.947548406503808</v>
      </c>
    </row>
    <row r="54" customFormat="false" ht="15" hidden="false" customHeight="false" outlineLevel="0" collapsed="false">
      <c r="F54" s="9" t="s">
        <v>117</v>
      </c>
      <c r="G54" s="32" t="n">
        <f aca="false">Mortgage_Total/$D$5</f>
        <v>113139.438943894</v>
      </c>
      <c r="H54" s="11"/>
      <c r="I54" s="11"/>
      <c r="J54" s="32" t="n">
        <f aca="false">TotalDebt_Total/$D$5</f>
        <v>123452.97029703</v>
      </c>
      <c r="K54" s="11"/>
      <c r="L54" s="11"/>
    </row>
    <row r="56" customFormat="false" ht="15" hidden="false" customHeight="false" outlineLevel="0" collapsed="false">
      <c r="F56" s="21" t="s">
        <v>118</v>
      </c>
    </row>
    <row r="57" customFormat="false" ht="18" hidden="false" customHeight="true" outlineLevel="0" collapsed="false">
      <c r="F57" s="22" t="s">
        <v>119</v>
      </c>
      <c r="G57" s="22" t="s">
        <v>120</v>
      </c>
      <c r="H57" s="22" t="s">
        <v>121</v>
      </c>
      <c r="I57" s="22" t="s">
        <v>122</v>
      </c>
      <c r="J57" s="22" t="s">
        <v>123</v>
      </c>
    </row>
    <row r="58" customFormat="false" ht="15" hidden="false" customHeight="false" outlineLevel="0" collapsed="false">
      <c r="F58" s="9" t="s">
        <v>124</v>
      </c>
      <c r="G58" s="12" t="n">
        <v>0.075</v>
      </c>
      <c r="H58" s="35" t="n">
        <f aca="false">$D$6/Mortgage_Total</f>
        <v>0.0684728951686418</v>
      </c>
      <c r="I58" s="35" t="n">
        <f aca="false">$D$7/Mortgage_Total</f>
        <v>0.0751311139471285</v>
      </c>
      <c r="J58" s="35" t="n">
        <f aca="false">$D$9/Mortgage_Total</f>
        <v>0.066580584280025</v>
      </c>
    </row>
    <row r="59" customFormat="false" ht="15" hidden="false" customHeight="false" outlineLevel="0" collapsed="false">
      <c r="F59" s="6" t="s">
        <v>125</v>
      </c>
      <c r="G59" s="8" t="n">
        <v>0.065</v>
      </c>
      <c r="H59" s="14" t="n">
        <f aca="false">$D$6/TotalDebt_Total</f>
        <v>0.0627525196324144</v>
      </c>
      <c r="I59" s="14" t="n">
        <f aca="false">$D$7/TotalDebt_Total</f>
        <v>0.0688544962406015</v>
      </c>
      <c r="J59" s="14" t="n">
        <f aca="false">$D$9/TotalDebt_Total</f>
        <v>0.0610182965373328</v>
      </c>
    </row>
    <row r="60" customFormat="false" ht="15" hidden="false" customHeight="false" outlineLevel="0" collapsed="false">
      <c r="F60" s="9" t="s">
        <v>126</v>
      </c>
      <c r="G60" s="11"/>
      <c r="H60" s="35" t="n">
        <f aca="false">1-$G58/H58</f>
        <v>-0.0953239207321768</v>
      </c>
      <c r="I60" s="35" t="n">
        <f aca="false">1-$G58/I58</f>
        <v>0.00174513514095898</v>
      </c>
      <c r="J60" s="35" t="n">
        <f aca="false">1-$G58/J58</f>
        <v>-0.126454518400809</v>
      </c>
    </row>
    <row r="61" customFormat="false" ht="15" hidden="false" customHeight="false" outlineLevel="0" collapsed="false">
      <c r="F61" s="6" t="s">
        <v>127</v>
      </c>
      <c r="H61" s="14" t="n">
        <f aca="false">1-$G59/H59</f>
        <v>-0.035814982103519</v>
      </c>
      <c r="I61" s="14" t="n">
        <f aca="false">1-$G59/I59</f>
        <v>0.0559803128488886</v>
      </c>
      <c r="J61" s="14" t="n">
        <f aca="false">1-$G59/J59</f>
        <v>-0.0652542546845938</v>
      </c>
    </row>
    <row r="62" customFormat="false" ht="15" hidden="false" customHeight="false" outlineLevel="0" collapsed="false">
      <c r="F62" s="9" t="s">
        <v>128</v>
      </c>
      <c r="G62" s="11"/>
      <c r="H62" s="56" t="str">
        <f aca="false">IF(H58&lt;$G58,"Sweep","Pass")</f>
        <v>Sweep</v>
      </c>
      <c r="I62" s="56" t="str">
        <f aca="false">IF(I58&lt;$G58,"Sweep","Pass")</f>
        <v>Pass</v>
      </c>
      <c r="J62" s="56" t="str">
        <f aca="false">IF(J58&lt;$G58,"Sweep","Pass")</f>
        <v>Sweep</v>
      </c>
    </row>
    <row r="63" customFormat="false" ht="15" hidden="false" customHeight="false" outlineLevel="0" collapsed="false">
      <c r="F63" s="6" t="s">
        <v>129</v>
      </c>
      <c r="H63" s="40" t="str">
        <f aca="false">IF(H59&lt;$G59,"Sweep","Pass")</f>
        <v>Sweep</v>
      </c>
      <c r="I63" s="40" t="str">
        <f aca="false">IF(I59&lt;$G59,"Sweep","Pass")</f>
        <v>Pass</v>
      </c>
      <c r="J63" s="40" t="str">
        <f aca="false">IF(J59&lt;$G59,"Sweep","Pass")</f>
        <v>Sweep</v>
      </c>
    </row>
    <row r="64" customFormat="false" ht="15" hidden="false" customHeight="false" outlineLevel="0" collapsed="false">
      <c r="F64" s="19" t="s">
        <v>130</v>
      </c>
    </row>
  </sheetData>
  <conditionalFormatting sqref="H62:J63">
    <cfRule type="expression" priority="2" aboveAverage="0" equalAverage="0" bottom="0" percent="0" rank="0" text="" dxfId="0">
      <formula>H62="Sweep"</formula>
    </cfRule>
    <cfRule type="expression" priority="3" aboveAverage="0" equalAverage="0" bottom="0" percent="0" rank="0" text="" dxfId="1">
      <formula>H62="Pass"</formula>
    </cfRule>
  </conditionalFormatting>
  <dataValidations count="1">
    <dataValidation allowBlank="true" errorStyle="stop" operator="between" showDropDown="false" showErrorMessage="false" showInputMessage="false" sqref="I18:I23" type="decimal">
      <formula1>0</formula1>
      <formula2>1</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&amp;L&amp;7 &amp;K9aa0a8CONFIDENTIAL&amp;R&amp;7 &amp;K9aa0a8&amp;P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2F51"/>
    <pageSetUpPr fitToPage="true"/>
  </sheetPr>
  <dimension ref="B1:M2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3"/>
    <col collapsed="false" customWidth="true" hidden="false" outlineLevel="0" max="3" min="3" style="0" width="34"/>
    <col collapsed="false" customWidth="true" hidden="false" outlineLevel="0" max="4" min="4" style="0" width="15"/>
    <col collapsed="false" customWidth="true" hidden="false" outlineLevel="0" max="5" min="5" style="0" width="11"/>
    <col collapsed="false" customWidth="true" hidden="false" outlineLevel="0" max="6" min="6" style="0" width="9"/>
    <col collapsed="false" customWidth="true" hidden="false" outlineLevel="0" max="7" min="7" style="0" width="3"/>
    <col collapsed="false" customWidth="true" hidden="false" outlineLevel="0" max="8" min="8" style="0" width="34"/>
    <col collapsed="false" customWidth="true" hidden="false" outlineLevel="0" max="9" min="9" style="0" width="15"/>
    <col collapsed="false" customWidth="true" hidden="false" outlineLevel="0" max="10" min="10" style="0" width="11"/>
    <col collapsed="false" customWidth="true" hidden="false" outlineLevel="0" max="11" min="11" style="0" width="9"/>
    <col collapsed="false" customWidth="true" hidden="false" outlineLevel="0" max="12" min="12" style="0" width="3"/>
    <col collapsed="false" customWidth="true" hidden="false" outlineLevel="0" max="13" min="13" style="0" width="9"/>
  </cols>
  <sheetData>
    <row r="1" customFormat="false" ht="15" hidden="false" customHeight="false" outlineLevel="0" collapsed="false">
      <c r="B1" s="1" t="s">
        <v>131</v>
      </c>
      <c r="C1" s="4"/>
      <c r="D1" s="4"/>
      <c r="E1" s="4"/>
      <c r="F1" s="4"/>
      <c r="G1" s="4"/>
      <c r="H1" s="4"/>
      <c r="I1" s="4"/>
      <c r="J1" s="4"/>
      <c r="K1" s="4"/>
    </row>
    <row r="2" customFormat="false" ht="15" hidden="false" customHeight="false" outlineLevel="0" collapsed="false">
      <c r="B2" s="19" t="s">
        <v>132</v>
      </c>
    </row>
    <row r="3" customFormat="false" ht="15" hidden="false" customHeight="false" outlineLevel="0" collapsed="false">
      <c r="C3" s="6" t="s">
        <v>41</v>
      </c>
      <c r="D3" s="57" t="n">
        <f aca="false">Total_Units</f>
        <v>4848</v>
      </c>
    </row>
    <row r="5" customFormat="false" ht="18" hidden="false" customHeight="true" outlineLevel="0" collapsed="false">
      <c r="C5" s="22" t="s">
        <v>33</v>
      </c>
      <c r="D5" s="22" t="s">
        <v>133</v>
      </c>
      <c r="E5" s="22" t="s">
        <v>134</v>
      </c>
      <c r="F5" s="22" t="s">
        <v>135</v>
      </c>
      <c r="H5" s="22" t="s">
        <v>136</v>
      </c>
      <c r="I5" s="22" t="s">
        <v>133</v>
      </c>
      <c r="J5" s="22" t="s">
        <v>134</v>
      </c>
      <c r="K5" s="22" t="s">
        <v>135</v>
      </c>
    </row>
    <row r="6" customFormat="false" ht="15" hidden="false" customHeight="false" outlineLevel="0" collapsed="false">
      <c r="C6" s="6" t="s">
        <v>137</v>
      </c>
      <c r="D6" s="49" t="n">
        <f aca="false">Mortgage_Total</f>
        <v>548500000</v>
      </c>
      <c r="E6" s="25" t="n">
        <f aca="false">D6/$D$3</f>
        <v>113139.438943894</v>
      </c>
      <c r="F6" s="26" t="n">
        <f aca="false">D6/$D$9</f>
        <v>0.887325082908679</v>
      </c>
      <c r="H6" s="6" t="s">
        <v>138</v>
      </c>
      <c r="I6" s="28" t="n">
        <v>583236338</v>
      </c>
      <c r="J6" s="25" t="n">
        <f aca="false">I6/$D$3</f>
        <v>120304.525165017</v>
      </c>
      <c r="K6" s="26" t="n">
        <f aca="false">I6/$I$9</f>
        <v>0.943519110248322</v>
      </c>
    </row>
    <row r="7" customFormat="false" ht="15" hidden="false" customHeight="false" outlineLevel="0" collapsed="false">
      <c r="C7" s="9" t="s">
        <v>100</v>
      </c>
      <c r="D7" s="51" t="n">
        <f aca="false">Mezz_Bal</f>
        <v>50000000</v>
      </c>
      <c r="E7" s="32" t="n">
        <f aca="false">D7/$D$3</f>
        <v>10313.5313531353</v>
      </c>
      <c r="F7" s="34" t="n">
        <f aca="false">D7/$D$9</f>
        <v>0.0808865162177465</v>
      </c>
      <c r="H7" s="9" t="s">
        <v>139</v>
      </c>
      <c r="I7" s="37" t="n">
        <v>34913662</v>
      </c>
      <c r="J7" s="32" t="n">
        <f aca="false">I7/$D$3</f>
        <v>7201.66295379538</v>
      </c>
      <c r="K7" s="34" t="n">
        <f aca="false">I7/$I$9</f>
        <v>0.0564808897516784</v>
      </c>
    </row>
    <row r="8" customFormat="false" ht="15" hidden="false" customHeight="false" outlineLevel="0" collapsed="false">
      <c r="C8" s="6" t="s">
        <v>140</v>
      </c>
      <c r="D8" s="28" t="n">
        <v>19650000</v>
      </c>
      <c r="E8" s="25" t="n">
        <f aca="false">D8/$D$3</f>
        <v>4053.21782178218</v>
      </c>
      <c r="F8" s="26" t="n">
        <f aca="false">D8/$D$9</f>
        <v>0.0317884008735744</v>
      </c>
    </row>
    <row r="9" customFormat="false" ht="15" hidden="false" customHeight="false" outlineLevel="0" collapsed="false">
      <c r="C9" s="41" t="s">
        <v>141</v>
      </c>
      <c r="D9" s="43" t="n">
        <f aca="false">SUM(D6:D8)</f>
        <v>618150000</v>
      </c>
      <c r="E9" s="43" t="n">
        <f aca="false">D9/$D$3</f>
        <v>127506.188118812</v>
      </c>
      <c r="F9" s="44" t="n">
        <f aca="false">D9/$D$9</f>
        <v>1</v>
      </c>
      <c r="H9" s="41" t="s">
        <v>142</v>
      </c>
      <c r="I9" s="43" t="n">
        <f aca="false">SUM(I6:I8)</f>
        <v>618150000</v>
      </c>
      <c r="J9" s="43" t="n">
        <f aca="false">I9/$D$3</f>
        <v>127506.188118812</v>
      </c>
      <c r="K9" s="44" t="n">
        <f aca="false">I9/$I$9</f>
        <v>1</v>
      </c>
      <c r="M9" s="58" t="str">
        <f aca="false">IF(ROUND(I9-D9,0)=0,"OK","CHECK")</f>
        <v>OK</v>
      </c>
    </row>
    <row r="12" customFormat="false" ht="15" hidden="false" customHeight="false" outlineLevel="0" collapsed="false">
      <c r="C12" s="21" t="s">
        <v>143</v>
      </c>
    </row>
    <row r="13" customFormat="false" ht="15" hidden="false" customHeight="false" outlineLevel="0" collapsed="false">
      <c r="C13" s="6" t="s">
        <v>144</v>
      </c>
      <c r="D13" s="49" t="n">
        <f aca="false">Sponsor_Cost_Basis</f>
        <v>914700000</v>
      </c>
    </row>
    <row r="14" customFormat="false" ht="15" hidden="false" customHeight="false" outlineLevel="0" collapsed="false">
      <c r="C14" s="9" t="s">
        <v>101</v>
      </c>
      <c r="D14" s="51" t="n">
        <f aca="false">TotalDebt_Total</f>
        <v>598500000</v>
      </c>
    </row>
    <row r="15" customFormat="false" ht="15" hidden="false" customHeight="false" outlineLevel="0" collapsed="false">
      <c r="C15" s="6" t="s">
        <v>145</v>
      </c>
      <c r="D15" s="25" t="n">
        <f aca="false">D13-D14</f>
        <v>316200000</v>
      </c>
    </row>
    <row r="16" customFormat="false" ht="15" hidden="false" customHeight="false" outlineLevel="0" collapsed="false">
      <c r="C16" s="9" t="s">
        <v>146</v>
      </c>
      <c r="D16" s="34" t="n">
        <f aca="false">D14/D13</f>
        <v>0.654312889471958</v>
      </c>
    </row>
    <row r="17" customFormat="false" ht="15" hidden="false" customHeight="false" outlineLevel="0" collapsed="false">
      <c r="C17" s="6" t="s">
        <v>53</v>
      </c>
      <c r="D17" s="49" t="n">
        <f aca="false">Appraised_Value_Portfolio</f>
        <v>759000000</v>
      </c>
    </row>
    <row r="18" customFormat="false" ht="15" hidden="false" customHeight="false" outlineLevel="0" collapsed="false">
      <c r="C18" s="9" t="s">
        <v>147</v>
      </c>
      <c r="D18" s="32" t="n">
        <f aca="false">D17-D14</f>
        <v>160500000</v>
      </c>
    </row>
    <row r="19" customFormat="false" ht="15" hidden="false" customHeight="false" outlineLevel="0" collapsed="false">
      <c r="C19" s="6" t="s">
        <v>55</v>
      </c>
      <c r="D19" s="49" t="n">
        <f aca="false">SSP_Value_Total</f>
        <v>631630000</v>
      </c>
    </row>
    <row r="20" customFormat="false" ht="15" hidden="false" customHeight="false" outlineLevel="0" collapsed="false">
      <c r="C20" s="9" t="s">
        <v>148</v>
      </c>
      <c r="D20" s="32" t="n">
        <f aca="false">D19-D14</f>
        <v>33130000</v>
      </c>
    </row>
    <row r="21" customFormat="false" ht="15" hidden="false" customHeight="false" outlineLevel="0" collapsed="false">
      <c r="C21" s="6" t="s">
        <v>149</v>
      </c>
      <c r="D21" s="26" t="n">
        <f aca="false">D14/D19</f>
        <v>0.947548406503808</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&amp;L&amp;7 &amp;K9aa0a8CONFIDENTIAL&amp;R&amp;7 &amp;K9aa0a8&amp;P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2F51"/>
    <pageSetUpPr fitToPage="true"/>
  </sheetPr>
  <dimension ref="B1:S3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14" topLeftCell="E15" activePane="bottomRight" state="frozen"/>
      <selection pane="topLeft" activeCell="A1" activeCellId="0" sqref="A1"/>
      <selection pane="topRight" activeCell="E1" activeCellId="0" sqref="E1"/>
      <selection pane="bottomLeft" activeCell="A15" activeCellId="0" sqref="A15"/>
      <selection pane="bottomRight" activeCell="A1" activeCellId="0" sqref="A1"/>
    </sheetView>
  </sheetViews>
  <sheetFormatPr defaultColWidth="8.6796875" defaultRowHeight="15" zeroHeight="false" outlineLevelRow="0" outlineLevelCol="0"/>
  <cols>
    <col collapsed="false" customWidth="true" hidden="false" outlineLevel="0" max="2" min="1" style="0" width="3"/>
    <col collapsed="false" customWidth="true" hidden="false" outlineLevel="0" max="3" min="3" style="0" width="5"/>
    <col collapsed="false" customWidth="true" hidden="false" outlineLevel="0" max="4" min="4" style="0" width="24"/>
    <col collapsed="false" customWidth="true" hidden="false" outlineLevel="0" max="5" min="5" style="0" width="17"/>
    <col collapsed="false" customWidth="true" hidden="false" outlineLevel="0" max="6" min="6" style="0" width="8"/>
    <col collapsed="false" customWidth="true" hidden="false" outlineLevel="0" max="18" min="7" style="0" width="11"/>
    <col collapsed="false" customWidth="true" hidden="false" outlineLevel="0" max="19" min="19" style="0" width="60"/>
  </cols>
  <sheetData>
    <row r="1" customFormat="false" ht="15" hidden="false" customHeight="false" outlineLevel="0" collapsed="false">
      <c r="B1" s="1" t="s">
        <v>150</v>
      </c>
      <c r="C1" s="4"/>
      <c r="D1" s="4"/>
      <c r="E1" s="4"/>
      <c r="F1" s="4"/>
      <c r="G1" s="4"/>
      <c r="H1" s="4"/>
      <c r="I1" s="4"/>
      <c r="J1" s="4"/>
      <c r="K1" s="4"/>
      <c r="L1" s="4"/>
      <c r="M1" s="4"/>
      <c r="N1" s="4"/>
      <c r="O1" s="4"/>
      <c r="P1" s="4"/>
      <c r="Q1" s="4"/>
      <c r="R1" s="4"/>
      <c r="S1" s="4"/>
    </row>
    <row r="2" customFormat="false" ht="15" hidden="false" customHeight="false" outlineLevel="0" collapsed="false">
      <c r="B2" s="19" t="s">
        <v>151</v>
      </c>
    </row>
    <row r="4" customFormat="false" ht="15" hidden="false" customHeight="false" outlineLevel="0" collapsed="false">
      <c r="D4" s="2" t="s">
        <v>152</v>
      </c>
      <c r="E4" s="5"/>
      <c r="F4" s="5" t="s">
        <v>37</v>
      </c>
      <c r="G4" s="2" t="s">
        <v>153</v>
      </c>
      <c r="H4" s="5"/>
      <c r="I4" s="5"/>
      <c r="J4" s="5"/>
      <c r="K4" s="5"/>
      <c r="L4" s="5"/>
    </row>
    <row r="5" customFormat="false" ht="15" hidden="false" customHeight="false" outlineLevel="0" collapsed="false">
      <c r="D5" s="23" t="s">
        <v>154</v>
      </c>
      <c r="F5" s="8" t="n">
        <v>0</v>
      </c>
      <c r="G5" s="19" t="s">
        <v>155</v>
      </c>
    </row>
    <row r="6" customFormat="false" ht="15" hidden="false" customHeight="false" outlineLevel="0" collapsed="false">
      <c r="D6" s="30" t="s">
        <v>156</v>
      </c>
      <c r="E6" s="11"/>
      <c r="F6" s="12" t="n">
        <v>0.03</v>
      </c>
      <c r="G6" s="59" t="s">
        <v>157</v>
      </c>
      <c r="H6" s="11"/>
      <c r="I6" s="11"/>
      <c r="J6" s="11"/>
      <c r="K6" s="11"/>
      <c r="L6" s="11"/>
    </row>
    <row r="7" customFormat="false" ht="15" hidden="false" customHeight="false" outlineLevel="0" collapsed="false">
      <c r="D7" s="23" t="s">
        <v>158</v>
      </c>
      <c r="F7" s="8" t="n">
        <v>0.02</v>
      </c>
      <c r="G7" s="19" t="s">
        <v>159</v>
      </c>
    </row>
    <row r="8" customFormat="false" ht="15" hidden="false" customHeight="false" outlineLevel="0" collapsed="false">
      <c r="D8" s="30" t="s">
        <v>160</v>
      </c>
      <c r="E8" s="11"/>
      <c r="F8" s="37" t="n">
        <v>300</v>
      </c>
      <c r="G8" s="59" t="s">
        <v>161</v>
      </c>
      <c r="H8" s="11"/>
      <c r="I8" s="11"/>
      <c r="J8" s="11"/>
      <c r="K8" s="11"/>
      <c r="L8" s="11"/>
    </row>
    <row r="10" customFormat="false" ht="15" hidden="false" customHeight="false" outlineLevel="0" collapsed="false">
      <c r="D10" s="19" t="s">
        <v>162</v>
      </c>
    </row>
    <row r="14" customFormat="false" ht="43.5" hidden="false" customHeight="true" outlineLevel="0" collapsed="false">
      <c r="C14" s="22" t="s">
        <v>163</v>
      </c>
      <c r="D14" s="22" t="s">
        <v>164</v>
      </c>
      <c r="E14" s="22" t="s">
        <v>165</v>
      </c>
      <c r="F14" s="22" t="s">
        <v>41</v>
      </c>
      <c r="G14" s="22" t="s">
        <v>166</v>
      </c>
      <c r="H14" s="22" t="s">
        <v>167</v>
      </c>
      <c r="I14" s="22" t="s">
        <v>168</v>
      </c>
      <c r="J14" s="22" t="s">
        <v>169</v>
      </c>
      <c r="K14" s="22" t="s">
        <v>170</v>
      </c>
      <c r="L14" s="22" t="s">
        <v>171</v>
      </c>
      <c r="M14" s="22" t="s">
        <v>172</v>
      </c>
      <c r="N14" s="22" t="s">
        <v>173</v>
      </c>
      <c r="O14" s="22" t="s">
        <v>174</v>
      </c>
      <c r="P14" s="22" t="s">
        <v>175</v>
      </c>
      <c r="Q14" s="22" t="s">
        <v>176</v>
      </c>
      <c r="R14" s="22" t="s">
        <v>177</v>
      </c>
      <c r="S14" s="22" t="s">
        <v>178</v>
      </c>
    </row>
    <row r="15" customFormat="false" ht="15" hidden="false" customHeight="false" outlineLevel="0" collapsed="false">
      <c r="C15" s="60" t="n">
        <v>1</v>
      </c>
      <c r="D15" s="61" t="str">
        <f aca="false">INDEX(Tape_Property,$C15)</f>
        <v>Rise Broadway</v>
      </c>
      <c r="E15" s="61" t="str">
        <f aca="false">INDEX(Tape_Market,MATCH($D15,Tape_Property,0))</f>
        <v>Phoenix</v>
      </c>
      <c r="F15" s="57" t="n">
        <f aca="false">INDEX(Tape_Units,MATCH($D15,Tape_Property,0))</f>
        <v>288</v>
      </c>
      <c r="G15" s="62" t="n">
        <f aca="false">INDEX(Tape_Occ,MATCH($D15,Tape_Property,0))</f>
        <v>0.892</v>
      </c>
      <c r="H15" s="62" t="n">
        <f aca="false">INDEX(EconOcc_2025,MATCH($D15,Tape_Property,0))</f>
        <v>0.925</v>
      </c>
      <c r="I15" s="62" t="n">
        <f aca="false">INDEX(EconOcc_TTM,MATCH($D15,Tape_Property,0))</f>
        <v>0.913</v>
      </c>
      <c r="J15" s="62" t="n">
        <f aca="false">INDEX(EconOcc_T3,MATCH($D15,Tape_Property,0))</f>
        <v>0.914</v>
      </c>
      <c r="K15" s="62" t="n">
        <f aca="false">INDEX(EconOcc_UW,MATCH($D15,Tape_Property,0))</f>
        <v>0.891</v>
      </c>
      <c r="L15" s="39" t="n">
        <v>0</v>
      </c>
      <c r="M15" s="26" t="n">
        <f aca="false">I15+L15</f>
        <v>0.913</v>
      </c>
      <c r="N15" s="39" t="n">
        <v>0</v>
      </c>
      <c r="O15" s="39" t="n">
        <v>0</v>
      </c>
      <c r="P15" s="8" t="n">
        <v>0</v>
      </c>
      <c r="Q15" s="63" t="n">
        <f aca="false">INDEX(Tape_ApprCap,MATCH($D15,Tape_Property,0))</f>
        <v>0.055</v>
      </c>
      <c r="R15" s="14" t="n">
        <f aca="false">Q15+SSP_CapPrem+P15</f>
        <v>0.055</v>
      </c>
      <c r="S15" s="19" t="s">
        <v>179</v>
      </c>
    </row>
    <row r="16" customFormat="false" ht="15" hidden="false" customHeight="false" outlineLevel="0" collapsed="false">
      <c r="C16" s="64" t="n">
        <f aca="false">C15+1</f>
        <v>2</v>
      </c>
      <c r="D16" s="65" t="str">
        <f aca="false">INDEX(Tape_Property,$C16)</f>
        <v>Rise Bedford Lake</v>
      </c>
      <c r="E16" s="65" t="str">
        <f aca="false">INDEX(Tape_Market,MATCH($D16,Tape_Property,0))</f>
        <v>Dallas-Fort Worth</v>
      </c>
      <c r="F16" s="66" t="n">
        <f aca="false">INDEX(Tape_Units,MATCH($D16,Tape_Property,0))</f>
        <v>360</v>
      </c>
      <c r="G16" s="67" t="n">
        <f aca="false">INDEX(Tape_Occ,MATCH($D16,Tape_Property,0))</f>
        <v>0.936</v>
      </c>
      <c r="H16" s="67" t="n">
        <f aca="false">INDEX(EconOcc_2025,MATCH($D16,Tape_Property,0))</f>
        <v>0.878</v>
      </c>
      <c r="I16" s="67" t="n">
        <f aca="false">INDEX(EconOcc_TTM,MATCH($D16,Tape_Property,0))</f>
        <v>0.916</v>
      </c>
      <c r="J16" s="67" t="n">
        <f aca="false">INDEX(EconOcc_T3,MATCH($D16,Tape_Property,0))</f>
        <v>0.929</v>
      </c>
      <c r="K16" s="67" t="n">
        <f aca="false">INDEX(EconOcc_UW,MATCH($D16,Tape_Property,0))</f>
        <v>0.931</v>
      </c>
      <c r="L16" s="33" t="n">
        <v>0</v>
      </c>
      <c r="M16" s="34" t="n">
        <f aca="false">I16+L16</f>
        <v>0.916</v>
      </c>
      <c r="N16" s="33" t="n">
        <v>0</v>
      </c>
      <c r="O16" s="33" t="n">
        <v>0</v>
      </c>
      <c r="P16" s="12" t="n">
        <v>0</v>
      </c>
      <c r="Q16" s="68" t="n">
        <f aca="false">INDEX(Tape_ApprCap,MATCH($D16,Tape_Property,0))</f>
        <v>0.0625</v>
      </c>
      <c r="R16" s="35" t="n">
        <f aca="false">Q16+SSP_CapPrem+P16</f>
        <v>0.0625</v>
      </c>
    </row>
    <row r="17" customFormat="false" ht="15" hidden="false" customHeight="false" outlineLevel="0" collapsed="false">
      <c r="C17" s="58" t="n">
        <f aca="false">C16+1</f>
        <v>3</v>
      </c>
      <c r="D17" s="61" t="str">
        <f aca="false">INDEX(Tape_Property,$C17)</f>
        <v>Rise Creekside</v>
      </c>
      <c r="E17" s="61" t="str">
        <f aca="false">INDEX(Tape_Market,MATCH($D17,Tape_Property,0))</f>
        <v>Dallas-Fort Worth</v>
      </c>
      <c r="F17" s="57" t="n">
        <f aca="false">INDEX(Tape_Units,MATCH($D17,Tape_Property,0))</f>
        <v>228</v>
      </c>
      <c r="G17" s="62" t="n">
        <f aca="false">INDEX(Tape_Occ,MATCH($D17,Tape_Property,0))</f>
        <v>0.952</v>
      </c>
      <c r="H17" s="62" t="n">
        <f aca="false">INDEX(EconOcc_2025,MATCH($D17,Tape_Property,0))</f>
        <v>0.85</v>
      </c>
      <c r="I17" s="62" t="n">
        <f aca="false">INDEX(EconOcc_TTM,MATCH($D17,Tape_Property,0))</f>
        <v>0.887</v>
      </c>
      <c r="J17" s="62" t="n">
        <f aca="false">INDEX(EconOcc_T3,MATCH($D17,Tape_Property,0))</f>
        <v>0.935</v>
      </c>
      <c r="K17" s="62" t="n">
        <f aca="false">INDEX(EconOcc_UW,MATCH($D17,Tape_Property,0))</f>
        <v>0.95</v>
      </c>
      <c r="L17" s="39" t="n">
        <v>0</v>
      </c>
      <c r="M17" s="26" t="n">
        <f aca="false">I17+L17</f>
        <v>0.887</v>
      </c>
      <c r="N17" s="39" t="n">
        <v>0</v>
      </c>
      <c r="O17" s="39" t="n">
        <v>0</v>
      </c>
      <c r="P17" s="8" t="n">
        <v>0</v>
      </c>
      <c r="Q17" s="63" t="n">
        <f aca="false">INDEX(Tape_ApprCap,MATCH($D17,Tape_Property,0))</f>
        <v>0.055</v>
      </c>
      <c r="R17" s="14" t="n">
        <f aca="false">Q17+SSP_CapPrem+P17</f>
        <v>0.055</v>
      </c>
    </row>
    <row r="18" customFormat="false" ht="15" hidden="false" customHeight="false" outlineLevel="0" collapsed="false">
      <c r="C18" s="64" t="n">
        <f aca="false">C17+1</f>
        <v>4</v>
      </c>
      <c r="D18" s="65" t="str">
        <f aca="false">INDEX(Tape_Property,$C18)</f>
        <v>Rise Bridgeview</v>
      </c>
      <c r="E18" s="65" t="str">
        <f aca="false">INDEX(Tape_Market,MATCH($D18,Tape_Property,0))</f>
        <v>Greensboro</v>
      </c>
      <c r="F18" s="66" t="n">
        <f aca="false">INDEX(Tape_Units,MATCH($D18,Tape_Property,0))</f>
        <v>240</v>
      </c>
      <c r="G18" s="67" t="n">
        <f aca="false">INDEX(Tape_Occ,MATCH($D18,Tape_Property,0))</f>
        <v>0.925</v>
      </c>
      <c r="H18" s="67" t="n">
        <f aca="false">INDEX(EconOcc_2025,MATCH($D18,Tape_Property,0))</f>
        <v>0.905</v>
      </c>
      <c r="I18" s="67" t="n">
        <f aca="false">INDEX(EconOcc_TTM,MATCH($D18,Tape_Property,0))</f>
        <v>0.925</v>
      </c>
      <c r="J18" s="67" t="n">
        <f aca="false">INDEX(EconOcc_T3,MATCH($D18,Tape_Property,0))</f>
        <v>0.923</v>
      </c>
      <c r="K18" s="67" t="n">
        <f aca="false">INDEX(EconOcc_UW,MATCH($D18,Tape_Property,0))</f>
        <v>0.927</v>
      </c>
      <c r="L18" s="33" t="n">
        <v>0</v>
      </c>
      <c r="M18" s="34" t="n">
        <f aca="false">I18+L18</f>
        <v>0.925</v>
      </c>
      <c r="N18" s="33" t="n">
        <v>0</v>
      </c>
      <c r="O18" s="33" t="n">
        <v>0</v>
      </c>
      <c r="P18" s="12" t="n">
        <v>0</v>
      </c>
      <c r="Q18" s="68" t="n">
        <f aca="false">INDEX(Tape_ApprCap,MATCH($D18,Tape_Property,0))</f>
        <v>0.055</v>
      </c>
      <c r="R18" s="35" t="n">
        <f aca="false">Q18+SSP_CapPrem+P18</f>
        <v>0.055</v>
      </c>
      <c r="S18" s="19" t="s">
        <v>180</v>
      </c>
    </row>
    <row r="19" customFormat="false" ht="15" hidden="false" customHeight="false" outlineLevel="0" collapsed="false">
      <c r="C19" s="58" t="n">
        <f aca="false">C18+1</f>
        <v>5</v>
      </c>
      <c r="D19" s="61" t="str">
        <f aca="false">INDEX(Tape_Property,$C19)</f>
        <v>Rise Suncrest</v>
      </c>
      <c r="E19" s="61" t="str">
        <f aca="false">INDEX(Tape_Market,MATCH($D19,Tape_Property,0))</f>
        <v>Phoenix</v>
      </c>
      <c r="F19" s="57" t="n">
        <f aca="false">INDEX(Tape_Units,MATCH($D19,Tape_Property,0))</f>
        <v>160</v>
      </c>
      <c r="G19" s="62" t="n">
        <f aca="false">INDEX(Tape_Occ,MATCH($D19,Tape_Property,0))</f>
        <v>0.944</v>
      </c>
      <c r="H19" s="62" t="n">
        <f aca="false">INDEX(EconOcc_2025,MATCH($D19,Tape_Property,0))</f>
        <v>0.921</v>
      </c>
      <c r="I19" s="62" t="n">
        <f aca="false">INDEX(EconOcc_TTM,MATCH($D19,Tape_Property,0))</f>
        <v>0.919</v>
      </c>
      <c r="J19" s="62" t="n">
        <f aca="false">INDEX(EconOcc_T3,MATCH($D19,Tape_Property,0))</f>
        <v>0.918</v>
      </c>
      <c r="K19" s="62" t="n">
        <f aca="false">INDEX(EconOcc_UW,MATCH($D19,Tape_Property,0))</f>
        <v>0.943</v>
      </c>
      <c r="L19" s="39" t="n">
        <v>0</v>
      </c>
      <c r="M19" s="26" t="n">
        <f aca="false">I19+L19</f>
        <v>0.919</v>
      </c>
      <c r="N19" s="39" t="n">
        <v>0</v>
      </c>
      <c r="O19" s="39" t="n">
        <v>0</v>
      </c>
      <c r="P19" s="8" t="n">
        <v>0</v>
      </c>
      <c r="Q19" s="63" t="n">
        <f aca="false">INDEX(Tape_ApprCap,MATCH($D19,Tape_Property,0))</f>
        <v>0.055</v>
      </c>
      <c r="R19" s="14" t="n">
        <f aca="false">Q19+SSP_CapPrem+P19</f>
        <v>0.055</v>
      </c>
    </row>
    <row r="20" customFormat="false" ht="15" hidden="false" customHeight="false" outlineLevel="0" collapsed="false">
      <c r="C20" s="64" t="n">
        <f aca="false">C19+1</f>
        <v>6</v>
      </c>
      <c r="D20" s="65" t="str">
        <f aca="false">INDEX(Tape_Property,$C20)</f>
        <v>Rise Desert Cove</v>
      </c>
      <c r="E20" s="65" t="str">
        <f aca="false">INDEX(Tape_Market,MATCH($D20,Tape_Property,0))</f>
        <v>Phoenix</v>
      </c>
      <c r="F20" s="66" t="n">
        <f aca="false">INDEX(Tape_Units,MATCH($D20,Tape_Property,0))</f>
        <v>186</v>
      </c>
      <c r="G20" s="67" t="n">
        <f aca="false">INDEX(Tape_Occ,MATCH($D20,Tape_Property,0))</f>
        <v>0.946</v>
      </c>
      <c r="H20" s="67" t="n">
        <f aca="false">INDEX(EconOcc_2025,MATCH($D20,Tape_Property,0))</f>
        <v>0.931</v>
      </c>
      <c r="I20" s="67" t="n">
        <f aca="false">INDEX(EconOcc_TTM,MATCH($D20,Tape_Property,0))</f>
        <v>0.939</v>
      </c>
      <c r="J20" s="67" t="n">
        <f aca="false">INDEX(EconOcc_T3,MATCH($D20,Tape_Property,0))</f>
        <v>0.945</v>
      </c>
      <c r="K20" s="67" t="n">
        <f aca="false">INDEX(EconOcc_UW,MATCH($D20,Tape_Property,0))</f>
        <v>0.944</v>
      </c>
      <c r="L20" s="33" t="n">
        <v>0</v>
      </c>
      <c r="M20" s="34" t="n">
        <f aca="false">I20+L20</f>
        <v>0.939</v>
      </c>
      <c r="N20" s="33" t="n">
        <v>0</v>
      </c>
      <c r="O20" s="33" t="n">
        <v>0</v>
      </c>
      <c r="P20" s="12" t="n">
        <v>0</v>
      </c>
      <c r="Q20" s="68" t="n">
        <f aca="false">INDEX(Tape_ApprCap,MATCH($D20,Tape_Property,0))</f>
        <v>0.055</v>
      </c>
      <c r="R20" s="35" t="n">
        <f aca="false">Q20+SSP_CapPrem+P20</f>
        <v>0.055</v>
      </c>
    </row>
    <row r="21" customFormat="false" ht="15" hidden="false" customHeight="false" outlineLevel="0" collapsed="false">
      <c r="C21" s="58" t="n">
        <f aca="false">C20+1</f>
        <v>7</v>
      </c>
      <c r="D21" s="61" t="str">
        <f aca="false">INDEX(Tape_Property,$C21)</f>
        <v>Rise Fossil Creek</v>
      </c>
      <c r="E21" s="61" t="str">
        <f aca="false">INDEX(Tape_Market,MATCH($D21,Tape_Property,0))</f>
        <v>Dallas-Fort Worth</v>
      </c>
      <c r="F21" s="57" t="n">
        <f aca="false">INDEX(Tape_Units,MATCH($D21,Tape_Property,0))</f>
        <v>288</v>
      </c>
      <c r="G21" s="62" t="n">
        <f aca="false">INDEX(Tape_Occ,MATCH($D21,Tape_Property,0))</f>
        <v>0.924</v>
      </c>
      <c r="H21" s="62" t="n">
        <f aca="false">INDEX(EconOcc_2025,MATCH($D21,Tape_Property,0))</f>
        <v>0.912</v>
      </c>
      <c r="I21" s="62" t="n">
        <f aca="false">INDEX(EconOcc_TTM,MATCH($D21,Tape_Property,0))</f>
        <v>0.915</v>
      </c>
      <c r="J21" s="62" t="n">
        <f aca="false">INDEX(EconOcc_T3,MATCH($D21,Tape_Property,0))</f>
        <v>0.917</v>
      </c>
      <c r="K21" s="62" t="n">
        <f aca="false">INDEX(EconOcc_UW,MATCH($D21,Tape_Property,0))</f>
        <v>0.921</v>
      </c>
      <c r="L21" s="39" t="n">
        <v>0</v>
      </c>
      <c r="M21" s="26" t="n">
        <f aca="false">I21+L21</f>
        <v>0.915</v>
      </c>
      <c r="N21" s="39" t="n">
        <v>0</v>
      </c>
      <c r="O21" s="39" t="n">
        <v>0</v>
      </c>
      <c r="P21" s="8" t="n">
        <v>0</v>
      </c>
      <c r="Q21" s="63" t="n">
        <f aca="false">INDEX(Tape_ApprCap,MATCH($D21,Tape_Property,0))</f>
        <v>0.0625</v>
      </c>
      <c r="R21" s="14" t="n">
        <f aca="false">Q21+SSP_CapPrem+P21</f>
        <v>0.0625</v>
      </c>
    </row>
    <row r="22" customFormat="false" ht="15" hidden="false" customHeight="false" outlineLevel="0" collapsed="false">
      <c r="C22" s="64" t="n">
        <f aca="false">C21+1</f>
        <v>8</v>
      </c>
      <c r="D22" s="65" t="str">
        <f aca="false">INDEX(Tape_Property,$C22)</f>
        <v>Rise Desert West</v>
      </c>
      <c r="E22" s="65" t="str">
        <f aca="false">INDEX(Tape_Market,MATCH($D22,Tape_Property,0))</f>
        <v>Phoenix</v>
      </c>
      <c r="F22" s="66" t="n">
        <f aca="false">INDEX(Tape_Units,MATCH($D22,Tape_Property,0))</f>
        <v>204</v>
      </c>
      <c r="G22" s="67" t="n">
        <f aca="false">INDEX(Tape_Occ,MATCH($D22,Tape_Property,0))</f>
        <v>0.946</v>
      </c>
      <c r="H22" s="67" t="n">
        <f aca="false">INDEX(EconOcc_2025,MATCH($D22,Tape_Property,0))</f>
        <v>0.927</v>
      </c>
      <c r="I22" s="67" t="n">
        <f aca="false">INDEX(EconOcc_TTM,MATCH($D22,Tape_Property,0))</f>
        <v>0.912</v>
      </c>
      <c r="J22" s="67" t="n">
        <f aca="false">INDEX(EconOcc_T3,MATCH($D22,Tape_Property,0))</f>
        <v>0.945</v>
      </c>
      <c r="K22" s="67" t="n">
        <f aca="false">INDEX(EconOcc_UW,MATCH($D22,Tape_Property,0))</f>
        <v>0.947</v>
      </c>
      <c r="L22" s="33" t="n">
        <v>0</v>
      </c>
      <c r="M22" s="34" t="n">
        <f aca="false">I22+L22</f>
        <v>0.912</v>
      </c>
      <c r="N22" s="33" t="n">
        <v>0</v>
      </c>
      <c r="O22" s="33" t="n">
        <v>0</v>
      </c>
      <c r="P22" s="12" t="n">
        <v>0</v>
      </c>
      <c r="Q22" s="68" t="n">
        <f aca="false">INDEX(Tape_ApprCap,MATCH($D22,Tape_Property,0))</f>
        <v>0.055</v>
      </c>
      <c r="R22" s="35" t="n">
        <f aca="false">Q22+SSP_CapPrem+P22</f>
        <v>0.055</v>
      </c>
    </row>
    <row r="23" customFormat="false" ht="15" hidden="false" customHeight="false" outlineLevel="0" collapsed="false">
      <c r="C23" s="58" t="n">
        <f aca="false">C22+1</f>
        <v>9</v>
      </c>
      <c r="D23" s="61" t="str">
        <f aca="false">INDEX(Tape_Property,$C23)</f>
        <v>Rise Lakeside</v>
      </c>
      <c r="E23" s="61" t="str">
        <f aca="false">INDEX(Tape_Market,MATCH($D23,Tape_Property,0))</f>
        <v>Phoenix</v>
      </c>
      <c r="F23" s="57" t="n">
        <f aca="false">INDEX(Tape_Units,MATCH($D23,Tape_Property,0))</f>
        <v>288</v>
      </c>
      <c r="G23" s="62" t="n">
        <f aca="false">INDEX(Tape_Occ,MATCH($D23,Tape_Property,0))</f>
        <v>0.875</v>
      </c>
      <c r="H23" s="62" t="n">
        <f aca="false">INDEX(EconOcc_2025,MATCH($D23,Tape_Property,0))</f>
        <v>0.835</v>
      </c>
      <c r="I23" s="62" t="n">
        <f aca="false">INDEX(EconOcc_TTM,MATCH($D23,Tape_Property,0))</f>
        <v>0.788</v>
      </c>
      <c r="J23" s="62" t="n">
        <f aca="false">INDEX(EconOcc_T3,MATCH($D23,Tape_Property,0))</f>
        <v>0.855</v>
      </c>
      <c r="K23" s="62" t="n">
        <f aca="false">INDEX(EconOcc_UW,MATCH($D23,Tape_Property,0))</f>
        <v>0.875</v>
      </c>
      <c r="L23" s="39" t="n">
        <v>0</v>
      </c>
      <c r="M23" s="26" t="n">
        <f aca="false">I23+L23</f>
        <v>0.788</v>
      </c>
      <c r="N23" s="39" t="n">
        <v>0</v>
      </c>
      <c r="O23" s="39" t="n">
        <v>0</v>
      </c>
      <c r="P23" s="8" t="n">
        <v>0</v>
      </c>
      <c r="Q23" s="63" t="n">
        <f aca="false">INDEX(Tape_ApprCap,MATCH($D23,Tape_Property,0))</f>
        <v>0.055</v>
      </c>
      <c r="R23" s="14" t="n">
        <f aca="false">Q23+SSP_CapPrem+P23</f>
        <v>0.055</v>
      </c>
      <c r="S23" s="19" t="s">
        <v>181</v>
      </c>
    </row>
    <row r="24" customFormat="false" ht="15" hidden="false" customHeight="false" outlineLevel="0" collapsed="false">
      <c r="C24" s="64" t="n">
        <f aca="false">C23+1</f>
        <v>10</v>
      </c>
      <c r="D24" s="65" t="str">
        <f aca="false">INDEX(Tape_Property,$C24)</f>
        <v>Rise Spring Pointe</v>
      </c>
      <c r="E24" s="65" t="str">
        <f aca="false">INDEX(Tape_Market,MATCH($D24,Tape_Property,0))</f>
        <v>Dallas-Fort Worth</v>
      </c>
      <c r="F24" s="66" t="n">
        <f aca="false">INDEX(Tape_Units,MATCH($D24,Tape_Property,0))</f>
        <v>323</v>
      </c>
      <c r="G24" s="67" t="n">
        <f aca="false">INDEX(Tape_Occ,MATCH($D24,Tape_Property,0))</f>
        <v>0.861</v>
      </c>
      <c r="H24" s="67" t="n">
        <f aca="false">INDEX(EconOcc_2025,MATCH($D24,Tape_Property,0))</f>
        <v>0.914</v>
      </c>
      <c r="I24" s="67" t="n">
        <f aca="false">INDEX(EconOcc_TTM,MATCH($D24,Tape_Property,0))</f>
        <v>0.902</v>
      </c>
      <c r="J24" s="67" t="n">
        <f aca="false">INDEX(EconOcc_T3,MATCH($D24,Tape_Property,0))</f>
        <v>0.896</v>
      </c>
      <c r="K24" s="67" t="n">
        <f aca="false">INDEX(EconOcc_UW,MATCH($D24,Tape_Property,0))</f>
        <v>0.852</v>
      </c>
      <c r="L24" s="33" t="n">
        <v>0</v>
      </c>
      <c r="M24" s="34" t="n">
        <f aca="false">I24+L24</f>
        <v>0.902</v>
      </c>
      <c r="N24" s="33" t="n">
        <v>0</v>
      </c>
      <c r="O24" s="33" t="n">
        <v>0</v>
      </c>
      <c r="P24" s="12" t="n">
        <v>0</v>
      </c>
      <c r="Q24" s="68" t="n">
        <f aca="false">INDEX(Tape_ApprCap,MATCH($D24,Tape_Property,0))</f>
        <v>0.0625</v>
      </c>
      <c r="R24" s="35" t="n">
        <f aca="false">Q24+SSP_CapPrem+P24</f>
        <v>0.0625</v>
      </c>
      <c r="S24" s="19" t="s">
        <v>182</v>
      </c>
    </row>
    <row r="25" customFormat="false" ht="15" hidden="false" customHeight="false" outlineLevel="0" collapsed="false">
      <c r="C25" s="58" t="n">
        <f aca="false">C24+1</f>
        <v>11</v>
      </c>
      <c r="D25" s="61" t="str">
        <f aca="false">INDEX(Tape_Property,$C25)</f>
        <v>Rise Skyline</v>
      </c>
      <c r="E25" s="61" t="str">
        <f aca="false">INDEX(Tape_Market,MATCH($D25,Tape_Property,0))</f>
        <v>Dallas-Fort Worth</v>
      </c>
      <c r="F25" s="57" t="n">
        <f aca="false">INDEX(Tape_Units,MATCH($D25,Tape_Property,0))</f>
        <v>200</v>
      </c>
      <c r="G25" s="62" t="n">
        <f aca="false">INDEX(Tape_Occ,MATCH($D25,Tape_Property,0))</f>
        <v>0.95</v>
      </c>
      <c r="H25" s="62" t="n">
        <f aca="false">INDEX(EconOcc_2025,MATCH($D25,Tape_Property,0))</f>
        <v>0.89</v>
      </c>
      <c r="I25" s="62" t="n">
        <f aca="false">INDEX(EconOcc_TTM,MATCH($D25,Tape_Property,0))</f>
        <v>0.911</v>
      </c>
      <c r="J25" s="62" t="n">
        <f aca="false">INDEX(EconOcc_T3,MATCH($D25,Tape_Property,0))</f>
        <v>0.933</v>
      </c>
      <c r="K25" s="62" t="n">
        <f aca="false">INDEX(EconOcc_UW,MATCH($D25,Tape_Property,0))</f>
        <v>0.946</v>
      </c>
      <c r="L25" s="39" t="n">
        <v>0</v>
      </c>
      <c r="M25" s="26" t="n">
        <f aca="false">I25+L25</f>
        <v>0.911</v>
      </c>
      <c r="N25" s="39" t="n">
        <v>0</v>
      </c>
      <c r="O25" s="39" t="n">
        <v>0</v>
      </c>
      <c r="P25" s="8" t="n">
        <v>0</v>
      </c>
      <c r="Q25" s="63" t="n">
        <f aca="false">INDEX(Tape_ApprCap,MATCH($D25,Tape_Property,0))</f>
        <v>0.055</v>
      </c>
      <c r="R25" s="14" t="n">
        <f aca="false">Q25+SSP_CapPrem+P25</f>
        <v>0.055</v>
      </c>
    </row>
    <row r="26" customFormat="false" ht="15" hidden="false" customHeight="false" outlineLevel="0" collapsed="false">
      <c r="C26" s="64" t="n">
        <f aca="false">C25+1</f>
        <v>12</v>
      </c>
      <c r="D26" s="65" t="str">
        <f aca="false">INDEX(Tape_Property,$C26)</f>
        <v>Rise Hillcrest</v>
      </c>
      <c r="E26" s="65" t="str">
        <f aca="false">INDEX(Tape_Market,MATCH($D26,Tape_Property,0))</f>
        <v>Dallas-Fort Worth</v>
      </c>
      <c r="F26" s="66" t="n">
        <f aca="false">INDEX(Tape_Units,MATCH($D26,Tape_Property,0))</f>
        <v>224</v>
      </c>
      <c r="G26" s="67" t="n">
        <f aca="false">INDEX(Tape_Occ,MATCH($D26,Tape_Property,0))</f>
        <v>0.879</v>
      </c>
      <c r="H26" s="67" t="n">
        <f aca="false">INDEX(EconOcc_2025,MATCH($D26,Tape_Property,0))</f>
        <v>0.94</v>
      </c>
      <c r="I26" s="67" t="n">
        <f aca="false">INDEX(EconOcc_TTM,MATCH($D26,Tape_Property,0))</f>
        <v>0.926</v>
      </c>
      <c r="J26" s="67" t="n">
        <f aca="false">INDEX(EconOcc_T3,MATCH($D26,Tape_Property,0))</f>
        <v>0.912</v>
      </c>
      <c r="K26" s="67" t="n">
        <f aca="false">INDEX(EconOcc_UW,MATCH($D26,Tape_Property,0))</f>
        <v>0.888</v>
      </c>
      <c r="L26" s="33" t="n">
        <v>0</v>
      </c>
      <c r="M26" s="34" t="n">
        <f aca="false">I26+L26</f>
        <v>0.926</v>
      </c>
      <c r="N26" s="33" t="n">
        <v>0</v>
      </c>
      <c r="O26" s="33" t="n">
        <v>0</v>
      </c>
      <c r="P26" s="12" t="n">
        <v>0</v>
      </c>
      <c r="Q26" s="68" t="n">
        <f aca="false">INDEX(Tape_ApprCap,MATCH($D26,Tape_Property,0))</f>
        <v>0.0625</v>
      </c>
      <c r="R26" s="35" t="n">
        <f aca="false">Q26+SSP_CapPrem+P26</f>
        <v>0.0625</v>
      </c>
      <c r="S26" s="19" t="s">
        <v>183</v>
      </c>
    </row>
    <row r="27" customFormat="false" ht="15" hidden="false" customHeight="false" outlineLevel="0" collapsed="false">
      <c r="C27" s="58" t="n">
        <f aca="false">C26+1</f>
        <v>13</v>
      </c>
      <c r="D27" s="61" t="str">
        <f aca="false">INDEX(Tape_Property,$C27)</f>
        <v>Rise on Cave Creek</v>
      </c>
      <c r="E27" s="61" t="str">
        <f aca="false">INDEX(Tape_Market,MATCH($D27,Tape_Property,0))</f>
        <v>Phoenix</v>
      </c>
      <c r="F27" s="57" t="n">
        <f aca="false">INDEX(Tape_Units,MATCH($D27,Tape_Property,0))</f>
        <v>141</v>
      </c>
      <c r="G27" s="62" t="n">
        <f aca="false">INDEX(Tape_Occ,MATCH($D27,Tape_Property,0))</f>
        <v>0.879</v>
      </c>
      <c r="H27" s="62" t="n">
        <f aca="false">INDEX(EconOcc_2025,MATCH($D27,Tape_Property,0))</f>
        <v>0.895</v>
      </c>
      <c r="I27" s="62" t="n">
        <f aca="false">INDEX(EconOcc_TTM,MATCH($D27,Tape_Property,0))</f>
        <v>0.871</v>
      </c>
      <c r="J27" s="62" t="n">
        <f aca="false">INDEX(EconOcc_T3,MATCH($D27,Tape_Property,0))</f>
        <v>0.873</v>
      </c>
      <c r="K27" s="62" t="n">
        <f aca="false">INDEX(EconOcc_UW,MATCH($D27,Tape_Property,0))</f>
        <v>0.871</v>
      </c>
      <c r="L27" s="39" t="n">
        <v>0</v>
      </c>
      <c r="M27" s="26" t="n">
        <f aca="false">I27+L27</f>
        <v>0.871</v>
      </c>
      <c r="N27" s="39" t="n">
        <v>0</v>
      </c>
      <c r="O27" s="39" t="n">
        <v>0</v>
      </c>
      <c r="P27" s="8" t="n">
        <v>0</v>
      </c>
      <c r="Q27" s="63" t="n">
        <f aca="false">INDEX(Tape_ApprCap,MATCH($D27,Tape_Property,0))</f>
        <v>0.055</v>
      </c>
      <c r="R27" s="14" t="n">
        <f aca="false">Q27+SSP_CapPrem+P27</f>
        <v>0.055</v>
      </c>
    </row>
    <row r="28" customFormat="false" ht="15" hidden="false" customHeight="false" outlineLevel="0" collapsed="false">
      <c r="C28" s="64" t="n">
        <f aca="false">C27+1</f>
        <v>14</v>
      </c>
      <c r="D28" s="65" t="str">
        <f aca="false">INDEX(Tape_Property,$C28)</f>
        <v>Rise West Arlington</v>
      </c>
      <c r="E28" s="65" t="str">
        <f aca="false">INDEX(Tape_Market,MATCH($D28,Tape_Property,0))</f>
        <v>Dallas-Fort Worth</v>
      </c>
      <c r="F28" s="66" t="n">
        <f aca="false">INDEX(Tape_Units,MATCH($D28,Tape_Property,0))</f>
        <v>220</v>
      </c>
      <c r="G28" s="67" t="n">
        <f aca="false">INDEX(Tape_Occ,MATCH($D28,Tape_Property,0))</f>
        <v>0.932</v>
      </c>
      <c r="H28" s="67" t="n">
        <f aca="false">INDEX(EconOcc_2025,MATCH($D28,Tape_Property,0))</f>
        <v>0.877</v>
      </c>
      <c r="I28" s="67" t="n">
        <f aca="false">INDEX(EconOcc_TTM,MATCH($D28,Tape_Property,0))</f>
        <v>0.872</v>
      </c>
      <c r="J28" s="67" t="n">
        <f aca="false">INDEX(EconOcc_T3,MATCH($D28,Tape_Property,0))</f>
        <v>0.975</v>
      </c>
      <c r="K28" s="67" t="n">
        <f aca="false">INDEX(EconOcc_UW,MATCH($D28,Tape_Property,0))</f>
        <v>0.93</v>
      </c>
      <c r="L28" s="33" t="n">
        <v>0</v>
      </c>
      <c r="M28" s="34" t="n">
        <f aca="false">I28+L28</f>
        <v>0.872</v>
      </c>
      <c r="N28" s="33" t="n">
        <v>0</v>
      </c>
      <c r="O28" s="33" t="n">
        <v>0</v>
      </c>
      <c r="P28" s="12" t="n">
        <v>0</v>
      </c>
      <c r="Q28" s="68" t="n">
        <f aca="false">INDEX(Tape_ApprCap,MATCH($D28,Tape_Property,0))</f>
        <v>0.0625</v>
      </c>
      <c r="R28" s="35" t="n">
        <f aca="false">Q28+SSP_CapPrem+P28</f>
        <v>0.0625</v>
      </c>
    </row>
    <row r="29" customFormat="false" ht="15" hidden="false" customHeight="false" outlineLevel="0" collapsed="false">
      <c r="C29" s="58" t="n">
        <f aca="false">C28+1</f>
        <v>15</v>
      </c>
      <c r="D29" s="61" t="str">
        <f aca="false">INDEX(Tape_Property,$C29)</f>
        <v>Rise Heather Ridge</v>
      </c>
      <c r="E29" s="61" t="str">
        <f aca="false">INDEX(Tape_Market,MATCH($D29,Tape_Property,0))</f>
        <v>Dallas-Fort Worth</v>
      </c>
      <c r="F29" s="57" t="n">
        <f aca="false">INDEX(Tape_Units,MATCH($D29,Tape_Property,0))</f>
        <v>252</v>
      </c>
      <c r="G29" s="62" t="n">
        <f aca="false">INDEX(Tape_Occ,MATCH($D29,Tape_Property,0))</f>
        <v>0.913</v>
      </c>
      <c r="H29" s="62" t="n">
        <f aca="false">INDEX(EconOcc_2025,MATCH($D29,Tape_Property,0))</f>
        <v>0.867</v>
      </c>
      <c r="I29" s="62" t="n">
        <f aca="false">INDEX(EconOcc_TTM,MATCH($D29,Tape_Property,0))</f>
        <v>0.9</v>
      </c>
      <c r="J29" s="62" t="n">
        <f aca="false">INDEX(EconOcc_T3,MATCH($D29,Tape_Property,0))</f>
        <v>0.92</v>
      </c>
      <c r="K29" s="62" t="n">
        <f aca="false">INDEX(EconOcc_UW,MATCH($D29,Tape_Property,0))</f>
        <v>0.903</v>
      </c>
      <c r="L29" s="39" t="n">
        <v>0</v>
      </c>
      <c r="M29" s="26" t="n">
        <f aca="false">I29+L29</f>
        <v>0.9</v>
      </c>
      <c r="N29" s="39" t="n">
        <v>0</v>
      </c>
      <c r="O29" s="39" t="n">
        <v>0</v>
      </c>
      <c r="P29" s="8" t="n">
        <v>0</v>
      </c>
      <c r="Q29" s="63" t="n">
        <f aca="false">INDEX(Tape_ApprCap,MATCH($D29,Tape_Property,0))</f>
        <v>0.0625</v>
      </c>
      <c r="R29" s="14" t="n">
        <f aca="false">Q29+SSP_CapPrem+P29</f>
        <v>0.0625</v>
      </c>
    </row>
    <row r="30" customFormat="false" ht="15" hidden="false" customHeight="false" outlineLevel="0" collapsed="false">
      <c r="C30" s="64" t="n">
        <f aca="false">C29+1</f>
        <v>16</v>
      </c>
      <c r="D30" s="65" t="str">
        <f aca="false">INDEX(Tape_Property,$C30)</f>
        <v>Rise on Cactus</v>
      </c>
      <c r="E30" s="65" t="str">
        <f aca="false">INDEX(Tape_Market,MATCH($D30,Tape_Property,0))</f>
        <v>Phoenix</v>
      </c>
      <c r="F30" s="66" t="n">
        <f aca="false">INDEX(Tape_Units,MATCH($D30,Tape_Property,0))</f>
        <v>124</v>
      </c>
      <c r="G30" s="67" t="n">
        <f aca="false">INDEX(Tape_Occ,MATCH($D30,Tape_Property,0))</f>
        <v>0.944</v>
      </c>
      <c r="H30" s="67" t="n">
        <f aca="false">INDEX(EconOcc_2025,MATCH($D30,Tape_Property,0))</f>
        <v>0.875</v>
      </c>
      <c r="I30" s="67" t="n">
        <f aca="false">INDEX(EconOcc_TTM,MATCH($D30,Tape_Property,0))</f>
        <v>0.896</v>
      </c>
      <c r="J30" s="67" t="n">
        <f aca="false">INDEX(EconOcc_T3,MATCH($D30,Tape_Property,0))</f>
        <v>0.945</v>
      </c>
      <c r="K30" s="67" t="n">
        <f aca="false">INDEX(EconOcc_UW,MATCH($D30,Tape_Property,0))</f>
        <v>0.94</v>
      </c>
      <c r="L30" s="33" t="n">
        <v>0</v>
      </c>
      <c r="M30" s="34" t="n">
        <f aca="false">I30+L30</f>
        <v>0.896</v>
      </c>
      <c r="N30" s="33" t="n">
        <v>0</v>
      </c>
      <c r="O30" s="33" t="n">
        <v>0</v>
      </c>
      <c r="P30" s="12" t="n">
        <v>0</v>
      </c>
      <c r="Q30" s="68" t="n">
        <f aca="false">INDEX(Tape_ApprCap,MATCH($D30,Tape_Property,0))</f>
        <v>0.055</v>
      </c>
      <c r="R30" s="35" t="n">
        <f aca="false">Q30+SSP_CapPrem+P30</f>
        <v>0.055</v>
      </c>
    </row>
    <row r="31" customFormat="false" ht="15" hidden="false" customHeight="false" outlineLevel="0" collapsed="false">
      <c r="C31" s="58" t="n">
        <f aca="false">C30+1</f>
        <v>17</v>
      </c>
      <c r="D31" s="61" t="str">
        <f aca="false">INDEX(Tape_Property,$C31)</f>
        <v>Rise on McClintock</v>
      </c>
      <c r="E31" s="61" t="str">
        <f aca="false">INDEX(Tape_Market,MATCH($D31,Tape_Property,0))</f>
        <v>Phoenix</v>
      </c>
      <c r="F31" s="57" t="n">
        <f aca="false">INDEX(Tape_Units,MATCH($D31,Tape_Property,0))</f>
        <v>112</v>
      </c>
      <c r="G31" s="62" t="n">
        <f aca="false">INDEX(Tape_Occ,MATCH($D31,Tape_Property,0))</f>
        <v>0.92</v>
      </c>
      <c r="H31" s="62" t="n">
        <f aca="false">INDEX(EconOcc_2025,MATCH($D31,Tape_Property,0))</f>
        <v>0.94</v>
      </c>
      <c r="I31" s="62" t="n">
        <f aca="false">INDEX(EconOcc_TTM,MATCH($D31,Tape_Property,0))</f>
        <v>0.939</v>
      </c>
      <c r="J31" s="62" t="n">
        <f aca="false">INDEX(EconOcc_T3,MATCH($D31,Tape_Property,0))</f>
        <v>0.913</v>
      </c>
      <c r="K31" s="62" t="n">
        <f aca="false">INDEX(EconOcc_UW,MATCH($D31,Tape_Property,0))</f>
        <v>0.916</v>
      </c>
      <c r="L31" s="39" t="n">
        <v>0</v>
      </c>
      <c r="M31" s="26" t="n">
        <f aca="false">I31+L31</f>
        <v>0.939</v>
      </c>
      <c r="N31" s="39" t="n">
        <v>0</v>
      </c>
      <c r="O31" s="39" t="n">
        <v>0</v>
      </c>
      <c r="P31" s="8" t="n">
        <v>0</v>
      </c>
      <c r="Q31" s="63" t="n">
        <f aca="false">INDEX(Tape_ApprCap,MATCH($D31,Tape_Property,0))</f>
        <v>0.055</v>
      </c>
      <c r="R31" s="14" t="n">
        <f aca="false">Q31+SSP_CapPrem+P31</f>
        <v>0.055</v>
      </c>
    </row>
    <row r="32" customFormat="false" ht="15" hidden="false" customHeight="false" outlineLevel="0" collapsed="false">
      <c r="C32" s="64" t="n">
        <f aca="false">C31+1</f>
        <v>18</v>
      </c>
      <c r="D32" s="65" t="str">
        <f aca="false">INDEX(Tape_Property,$C32)</f>
        <v>Rise at Town East</v>
      </c>
      <c r="E32" s="65" t="str">
        <f aca="false">INDEX(Tape_Market,MATCH($D32,Tape_Property,0))</f>
        <v>Dallas-Fort Worth</v>
      </c>
      <c r="F32" s="66" t="n">
        <f aca="false">INDEX(Tape_Units,MATCH($D32,Tape_Property,0))</f>
        <v>210</v>
      </c>
      <c r="G32" s="67" t="n">
        <f aca="false">INDEX(Tape_Occ,MATCH($D32,Tape_Property,0))</f>
        <v>0.957</v>
      </c>
      <c r="H32" s="67" t="n">
        <f aca="false">INDEX(EconOcc_2025,MATCH($D32,Tape_Property,0))</f>
        <v>0.888</v>
      </c>
      <c r="I32" s="67" t="n">
        <f aca="false">INDEX(EconOcc_TTM,MATCH($D32,Tape_Property,0))</f>
        <v>0.912</v>
      </c>
      <c r="J32" s="67" t="n">
        <f aca="false">INDEX(EconOcc_T3,MATCH($D32,Tape_Property,0))</f>
        <v>0.935</v>
      </c>
      <c r="K32" s="67" t="n">
        <f aca="false">INDEX(EconOcc_UW,MATCH($D32,Tape_Property,0))</f>
        <v>0.951</v>
      </c>
      <c r="L32" s="33" t="n">
        <v>0</v>
      </c>
      <c r="M32" s="34" t="n">
        <f aca="false">I32+L32</f>
        <v>0.912</v>
      </c>
      <c r="N32" s="33" t="n">
        <v>0</v>
      </c>
      <c r="O32" s="33" t="n">
        <v>0</v>
      </c>
      <c r="P32" s="12" t="n">
        <v>0</v>
      </c>
      <c r="Q32" s="68" t="n">
        <f aca="false">INDEX(Tape_ApprCap,MATCH($D32,Tape_Property,0))</f>
        <v>0.0625</v>
      </c>
      <c r="R32" s="35" t="n">
        <f aca="false">Q32+SSP_CapPrem+P32</f>
        <v>0.0625</v>
      </c>
    </row>
    <row r="33" customFormat="false" ht="15" hidden="false" customHeight="false" outlineLevel="0" collapsed="false">
      <c r="C33" s="58" t="n">
        <f aca="false">C32+1</f>
        <v>19</v>
      </c>
      <c r="D33" s="61" t="str">
        <f aca="false">INDEX(Tape_Property,$C33)</f>
        <v>Rise at the Meadows</v>
      </c>
      <c r="E33" s="61" t="str">
        <f aca="false">INDEX(Tape_Market,MATCH($D33,Tape_Property,0))</f>
        <v>Phoenix</v>
      </c>
      <c r="F33" s="57" t="n">
        <f aca="false">INDEX(Tape_Units,MATCH($D33,Tape_Property,0))</f>
        <v>120</v>
      </c>
      <c r="G33" s="62" t="n">
        <f aca="false">INDEX(Tape_Occ,MATCH($D33,Tape_Property,0))</f>
        <v>0.908</v>
      </c>
      <c r="H33" s="62" t="n">
        <f aca="false">INDEX(EconOcc_2025,MATCH($D33,Tape_Property,0))</f>
        <v>0.91</v>
      </c>
      <c r="I33" s="62" t="n">
        <f aca="false">INDEX(EconOcc_TTM,MATCH($D33,Tape_Property,0))</f>
        <v>0.92</v>
      </c>
      <c r="J33" s="62" t="n">
        <f aca="false">INDEX(EconOcc_T3,MATCH($D33,Tape_Property,0))</f>
        <v>0.941</v>
      </c>
      <c r="K33" s="62" t="n">
        <f aca="false">INDEX(EconOcc_UW,MATCH($D33,Tape_Property,0))</f>
        <v>0.91</v>
      </c>
      <c r="L33" s="39" t="n">
        <v>0</v>
      </c>
      <c r="M33" s="26" t="n">
        <f aca="false">I33+L33</f>
        <v>0.92</v>
      </c>
      <c r="N33" s="39" t="n">
        <v>0</v>
      </c>
      <c r="O33" s="39" t="n">
        <v>0</v>
      </c>
      <c r="P33" s="8" t="n">
        <v>0</v>
      </c>
      <c r="Q33" s="63" t="n">
        <f aca="false">INDEX(Tape_ApprCap,MATCH($D33,Tape_Property,0))</f>
        <v>0.055</v>
      </c>
      <c r="R33" s="14" t="n">
        <f aca="false">Q33+SSP_CapPrem+P33</f>
        <v>0.055</v>
      </c>
    </row>
    <row r="34" customFormat="false" ht="15" hidden="false" customHeight="false" outlineLevel="0" collapsed="false">
      <c r="C34" s="64" t="n">
        <f aca="false">C33+1</f>
        <v>20</v>
      </c>
      <c r="D34" s="65" t="str">
        <f aca="false">INDEX(Tape_Property,$C34)</f>
        <v>Rise Oak Creek</v>
      </c>
      <c r="E34" s="65" t="str">
        <f aca="false">INDEX(Tape_Market,MATCH($D34,Tape_Property,0))</f>
        <v>Dallas-Fort Worth</v>
      </c>
      <c r="F34" s="66" t="n">
        <f aca="false">INDEX(Tape_Units,MATCH($D34,Tape_Property,0))</f>
        <v>176</v>
      </c>
      <c r="G34" s="67" t="n">
        <f aca="false">INDEX(Tape_Occ,MATCH($D34,Tape_Property,0))</f>
        <v>0.955</v>
      </c>
      <c r="H34" s="67" t="n">
        <f aca="false">INDEX(EconOcc_2025,MATCH($D34,Tape_Property,0))</f>
        <v>0.895</v>
      </c>
      <c r="I34" s="67" t="n">
        <f aca="false">INDEX(EconOcc_TTM,MATCH($D34,Tape_Property,0))</f>
        <v>0.895</v>
      </c>
      <c r="J34" s="67" t="n">
        <f aca="false">INDEX(EconOcc_T3,MATCH($D34,Tape_Property,0))</f>
        <v>0.95</v>
      </c>
      <c r="K34" s="67" t="n">
        <f aca="false">INDEX(EconOcc_UW,MATCH($D34,Tape_Property,0))</f>
        <v>0.954</v>
      </c>
      <c r="L34" s="33" t="n">
        <v>0</v>
      </c>
      <c r="M34" s="34" t="n">
        <f aca="false">I34+L34</f>
        <v>0.895</v>
      </c>
      <c r="N34" s="33" t="n">
        <v>0</v>
      </c>
      <c r="O34" s="33" t="n">
        <v>0</v>
      </c>
      <c r="P34" s="12" t="n">
        <v>0</v>
      </c>
      <c r="Q34" s="68" t="n">
        <f aca="false">INDEX(Tape_ApprCap,MATCH($D34,Tape_Property,0))</f>
        <v>0.0625</v>
      </c>
      <c r="R34" s="35" t="n">
        <f aca="false">Q34+SSP_CapPrem+P34</f>
        <v>0.0625</v>
      </c>
    </row>
    <row r="35" customFormat="false" ht="15" hidden="false" customHeight="false" outlineLevel="0" collapsed="false">
      <c r="C35" s="58" t="n">
        <f aca="false">C34+1</f>
        <v>21</v>
      </c>
      <c r="D35" s="61" t="str">
        <f aca="false">INDEX(Tape_Property,$C35)</f>
        <v>Rise North Arlington</v>
      </c>
      <c r="E35" s="61" t="str">
        <f aca="false">INDEX(Tape_Market,MATCH($D35,Tape_Property,0))</f>
        <v>Dallas-Fort Worth</v>
      </c>
      <c r="F35" s="57" t="n">
        <f aca="false">INDEX(Tape_Units,MATCH($D35,Tape_Property,0))</f>
        <v>262</v>
      </c>
      <c r="G35" s="62" t="n">
        <f aca="false">INDEX(Tape_Occ,MATCH($D35,Tape_Property,0))</f>
        <v>0.851</v>
      </c>
      <c r="H35" s="62" t="n">
        <f aca="false">INDEX(EconOcc_2025,MATCH($D35,Tape_Property,0))</f>
        <v>0.819</v>
      </c>
      <c r="I35" s="62" t="n">
        <f aca="false">INDEX(EconOcc_TTM,MATCH($D35,Tape_Property,0))</f>
        <v>0.857</v>
      </c>
      <c r="J35" s="62" t="n">
        <f aca="false">INDEX(EconOcc_T3,MATCH($D35,Tape_Property,0))</f>
        <v>0.814</v>
      </c>
      <c r="K35" s="62" t="n">
        <f aca="false">INDEX(EconOcc_UW,MATCH($D35,Tape_Property,0))</f>
        <v>0.835</v>
      </c>
      <c r="L35" s="39" t="n">
        <v>0</v>
      </c>
      <c r="M35" s="26" t="n">
        <f aca="false">I35+L35</f>
        <v>0.857</v>
      </c>
      <c r="N35" s="39" t="n">
        <v>0</v>
      </c>
      <c r="O35" s="39" t="n">
        <v>0</v>
      </c>
      <c r="P35" s="8" t="n">
        <v>0</v>
      </c>
      <c r="Q35" s="63" t="n">
        <f aca="false">INDEX(Tape_ApprCap,MATCH($D35,Tape_Property,0))</f>
        <v>0.0625</v>
      </c>
      <c r="R35" s="14" t="n">
        <f aca="false">Q35+SSP_CapPrem+P35</f>
        <v>0.0625</v>
      </c>
      <c r="S35" s="19" t="s">
        <v>184</v>
      </c>
    </row>
    <row r="36" customFormat="false" ht="15" hidden="false" customHeight="false" outlineLevel="0" collapsed="false">
      <c r="C36" s="64" t="n">
        <f aca="false">C35+1</f>
        <v>22</v>
      </c>
      <c r="D36" s="65" t="str">
        <f aca="false">INDEX(Tape_Property,$C36)</f>
        <v>Rise Gateway</v>
      </c>
      <c r="E36" s="65" t="str">
        <f aca="false">INDEX(Tape_Market,MATCH($D36,Tape_Property,0))</f>
        <v>Dallas-Fort Worth</v>
      </c>
      <c r="F36" s="66" t="n">
        <f aca="false">INDEX(Tape_Units,MATCH($D36,Tape_Property,0))</f>
        <v>142</v>
      </c>
      <c r="G36" s="67" t="n">
        <f aca="false">INDEX(Tape_Occ,MATCH($D36,Tape_Property,0))</f>
        <v>0.923</v>
      </c>
      <c r="H36" s="67" t="n">
        <f aca="false">INDEX(EconOcc_2025,MATCH($D36,Tape_Property,0))</f>
        <v>0.918</v>
      </c>
      <c r="I36" s="67" t="n">
        <f aca="false">INDEX(EconOcc_TTM,MATCH($D36,Tape_Property,0))</f>
        <v>0.947</v>
      </c>
      <c r="J36" s="67" t="n">
        <f aca="false">INDEX(EconOcc_T3,MATCH($D36,Tape_Property,0))</f>
        <v>0.935</v>
      </c>
      <c r="K36" s="67" t="n">
        <f aca="false">INDEX(EconOcc_UW,MATCH($D36,Tape_Property,0))</f>
        <v>0.918</v>
      </c>
      <c r="L36" s="33" t="n">
        <v>0</v>
      </c>
      <c r="M36" s="34" t="n">
        <f aca="false">I36+L36</f>
        <v>0.947</v>
      </c>
      <c r="N36" s="33" t="n">
        <v>0</v>
      </c>
      <c r="O36" s="33" t="n">
        <v>0</v>
      </c>
      <c r="P36" s="12" t="n">
        <v>0</v>
      </c>
      <c r="Q36" s="68" t="n">
        <f aca="false">INDEX(Tape_ApprCap,MATCH($D36,Tape_Property,0))</f>
        <v>0.0625</v>
      </c>
      <c r="R36" s="35" t="n">
        <f aca="false">Q36+SSP_CapPrem+P36</f>
        <v>0.0625</v>
      </c>
    </row>
    <row r="37" customFormat="false" ht="15" hidden="false" customHeight="false" outlineLevel="0" collapsed="false">
      <c r="C37" s="58" t="n">
        <f aca="false">C36+1</f>
        <v>23</v>
      </c>
      <c r="D37" s="61" t="str">
        <f aca="false">INDEX(Tape_Property,$C37)</f>
        <v>Rise Matthews Pointe</v>
      </c>
      <c r="E37" s="61" t="str">
        <f aca="false">INDEX(Tape_Market,MATCH($D37,Tape_Property,0))</f>
        <v>Charlotte</v>
      </c>
      <c r="F37" s="57" t="n">
        <f aca="false">INDEX(Tape_Units,MATCH($D37,Tape_Property,0))</f>
        <v>100</v>
      </c>
      <c r="G37" s="62" t="n">
        <f aca="false">INDEX(Tape_Occ,MATCH($D37,Tape_Property,0))</f>
        <v>0.93</v>
      </c>
      <c r="H37" s="62" t="n">
        <f aca="false">INDEX(EconOcc_2025,MATCH($D37,Tape_Property,0))</f>
        <v>0.929</v>
      </c>
      <c r="I37" s="62" t="n">
        <f aca="false">INDEX(EconOcc_TTM,MATCH($D37,Tape_Property,0))</f>
        <v>0.927</v>
      </c>
      <c r="J37" s="62" t="n">
        <f aca="false">INDEX(EconOcc_T3,MATCH($D37,Tape_Property,0))</f>
        <v>0.947</v>
      </c>
      <c r="K37" s="62" t="n">
        <f aca="false">INDEX(EconOcc_UW,MATCH($D37,Tape_Property,0))</f>
        <v>0.935</v>
      </c>
      <c r="L37" s="39" t="n">
        <v>0</v>
      </c>
      <c r="M37" s="26" t="n">
        <f aca="false">I37+L37</f>
        <v>0.927</v>
      </c>
      <c r="N37" s="39" t="n">
        <v>0</v>
      </c>
      <c r="O37" s="39" t="n">
        <v>0</v>
      </c>
      <c r="P37" s="8" t="n">
        <v>0</v>
      </c>
      <c r="Q37" s="63" t="n">
        <f aca="false">INDEX(Tape_ApprCap,MATCH($D37,Tape_Property,0))</f>
        <v>0.0525</v>
      </c>
      <c r="R37" s="14" t="n">
        <f aca="false">Q37+SSP_CapPrem+P37</f>
        <v>0.0525</v>
      </c>
    </row>
    <row r="38" customFormat="false" ht="15" hidden="false" customHeight="false" outlineLevel="0" collapsed="false">
      <c r="C38" s="42"/>
      <c r="D38" s="41" t="s">
        <v>185</v>
      </c>
      <c r="E38" s="42"/>
      <c r="F38" s="47" t="n">
        <f aca="false">SUM(F15:F37)</f>
        <v>4848</v>
      </c>
      <c r="G38" s="44" t="n">
        <f aca="false">SUMPRODUCT(G15:G37,$F15:$F37)/$F38</f>
        <v>0.915881188118812</v>
      </c>
      <c r="H38" s="44" t="n">
        <f aca="false">SUMPRODUCT(H15:H37,$F15:$F37)/$F38</f>
        <v>0.893660272277228</v>
      </c>
      <c r="I38" s="44" t="n">
        <f aca="false">SUMPRODUCT(I15:I37,$F15:$F37)/$F38</f>
        <v>0.900368605610561</v>
      </c>
      <c r="J38" s="44" t="n">
        <f aca="false">SUMPRODUCT(J15:J37,$F15:$F37)/$F38</f>
        <v>0.916772070957096</v>
      </c>
      <c r="K38" s="44" t="n">
        <f aca="false">SUMPRODUCT(K15:K37,$F15:$F37)/$F38</f>
        <v>0.912668110561056</v>
      </c>
      <c r="L38" s="42"/>
      <c r="M38" s="44" t="n">
        <f aca="false">SUMPRODUCT(M15:M37,$F15:$F37)/$F38</f>
        <v>0.900368605610561</v>
      </c>
      <c r="N38" s="42"/>
      <c r="O38" s="42"/>
      <c r="P38" s="42"/>
      <c r="Q38" s="46" t="n">
        <f aca="false">SUMPRODUCT(Q15:Q37,Tape_ApprValue)/SUM(Tape_ApprValue)</f>
        <v>0.0579104856736436</v>
      </c>
      <c r="R38" s="46" t="n">
        <f aca="false">SUMPRODUCT(R15:R37,Tape_ApprValue)/SUM(Tape_ApprValue)</f>
        <v>0.0579104856736436</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&amp;L&amp;7 &amp;K9aa0a8CONFIDENTIAL&amp;R&amp;7 &amp;K9aa0a8&amp;P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2F51"/>
    <pageSetUpPr fitToPage="true"/>
  </sheetPr>
  <dimension ref="D3:Z6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6" topLeftCell="F7" activePane="bottomRight" state="frozen"/>
      <selection pane="topLeft" activeCell="A1" activeCellId="0" sqref="A1"/>
      <selection pane="topRight" activeCell="F1" activeCellId="0" sqref="F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3" min="1" style="0" width="3"/>
    <col collapsed="false" customWidth="true" hidden="false" outlineLevel="0" max="4" min="4" style="0" width="24"/>
    <col collapsed="false" customWidth="true" hidden="false" outlineLevel="0" max="5" min="5" style="0" width="17"/>
    <col collapsed="false" customWidth="true" hidden="false" outlineLevel="0" max="27" min="6" style="0" width="13"/>
  </cols>
  <sheetData>
    <row r="3" customFormat="false" ht="15" hidden="false" customHeight="false" outlineLevel="0" collapsed="false">
      <c r="D3" s="1" t="str">
        <f aca="false">Deal_Name&amp;" SSP UW Summary"</f>
        <v>RISE 2026-MF SSP UW Summary</v>
      </c>
      <c r="E3" s="4"/>
      <c r="F3" s="4"/>
      <c r="G3" s="4"/>
      <c r="H3" s="4"/>
      <c r="I3" s="4"/>
      <c r="J3" s="4"/>
      <c r="K3" s="4"/>
      <c r="L3" s="4"/>
      <c r="M3" s="4"/>
      <c r="N3" s="4"/>
      <c r="O3" s="4"/>
      <c r="P3" s="4"/>
      <c r="Q3" s="4"/>
      <c r="R3" s="4"/>
      <c r="S3" s="4"/>
      <c r="T3" s="4"/>
      <c r="U3" s="4"/>
      <c r="V3" s="4"/>
      <c r="W3" s="4"/>
      <c r="X3" s="4"/>
      <c r="Y3" s="4"/>
      <c r="Z3" s="4"/>
    </row>
    <row r="4" customFormat="false" ht="15" hidden="false" customHeight="false" outlineLevel="0" collapsed="false">
      <c r="D4" s="52" t="s">
        <v>186</v>
      </c>
    </row>
    <row r="6" customFormat="false" ht="43.5" hidden="false" customHeight="true" outlineLevel="0" collapsed="false">
      <c r="D6" s="22" t="s">
        <v>164</v>
      </c>
      <c r="E6" s="22" t="s">
        <v>165</v>
      </c>
      <c r="F6" s="22" t="s">
        <v>41</v>
      </c>
      <c r="G6" s="22" t="s">
        <v>187</v>
      </c>
      <c r="H6" s="22" t="s">
        <v>172</v>
      </c>
      <c r="I6" s="22" t="s">
        <v>188</v>
      </c>
      <c r="J6" s="22" t="s">
        <v>189</v>
      </c>
      <c r="K6" s="22" t="s">
        <v>190</v>
      </c>
      <c r="L6" s="22" t="s">
        <v>191</v>
      </c>
      <c r="M6" s="22" t="s">
        <v>192</v>
      </c>
      <c r="N6" s="22" t="s">
        <v>193</v>
      </c>
      <c r="O6" s="22" t="s">
        <v>194</v>
      </c>
      <c r="P6" s="22" t="s">
        <v>195</v>
      </c>
      <c r="Q6" s="22" t="s">
        <v>196</v>
      </c>
      <c r="R6" s="22" t="s">
        <v>197</v>
      </c>
      <c r="S6" s="22" t="s">
        <v>198</v>
      </c>
      <c r="T6" s="22" t="s">
        <v>199</v>
      </c>
      <c r="U6" s="22" t="s">
        <v>200</v>
      </c>
      <c r="V6" s="22" t="s">
        <v>201</v>
      </c>
      <c r="W6" s="22" t="s">
        <v>45</v>
      </c>
      <c r="X6" s="22" t="s">
        <v>202</v>
      </c>
      <c r="Y6" s="22" t="s">
        <v>203</v>
      </c>
      <c r="Z6" s="22" t="s">
        <v>204</v>
      </c>
    </row>
    <row r="7" customFormat="false" ht="15" hidden="false" customHeight="false" outlineLevel="0" collapsed="false">
      <c r="D7" s="61" t="str">
        <f aca="false">INDEX(UWD_Asset,ROWS(D$7:D7))</f>
        <v>Rise Broadway</v>
      </c>
      <c r="E7" s="61" t="str">
        <f aca="false">INDEX(Tape_Market,MATCH($D7,Tape_Property,0))</f>
        <v>Phoenix</v>
      </c>
      <c r="F7" s="57" t="n">
        <f aca="false">INDEX(Tape_Units,MATCH($D7,Tape_Property,0))</f>
        <v>288</v>
      </c>
      <c r="G7" s="62" t="n">
        <f aca="false">INDEX(EconOcc_TTM,MATCH($D7,Tape_Property,0))</f>
        <v>0.913</v>
      </c>
      <c r="H7" s="62" t="n">
        <f aca="false">INDEX(SSP_EconOcc,MATCH($D7,UWD_Asset,0))</f>
        <v>0.913</v>
      </c>
      <c r="I7" s="49" t="n">
        <f aca="false">INDEX(Tape_GPR_UW,MATCH($D7,Tape_Property,0))</f>
        <v>4611682.8</v>
      </c>
      <c r="J7" s="49" t="n">
        <f aca="false">INDEX(Tape_EGI_TTM,MATCH($D7,Tape_Property,0))</f>
        <v>4723296.83</v>
      </c>
      <c r="K7" s="25" t="n">
        <f aca="false">(H7-G7)*I7</f>
        <v>0</v>
      </c>
      <c r="L7" s="25" t="n">
        <f aca="false">(J7+K7)*INDEX(SSP_EGIAdj,MATCH($D7,UWD_Asset,0))</f>
        <v>0</v>
      </c>
      <c r="M7" s="25" t="n">
        <f aca="false">J7+K7+L7</f>
        <v>4723296.83</v>
      </c>
      <c r="N7" s="25" t="n">
        <f aca="false">-INDEX(Tape_Opex_TTM,MATCH($D7,Tape_Property,0))</f>
        <v>-1528440.8866</v>
      </c>
      <c r="O7" s="25" t="n">
        <f aca="false">-INDEX(Tape_Opex_UW,MATCH($D7,Tape_Property,0))</f>
        <v>-1534571.10974886</v>
      </c>
      <c r="P7" s="25" t="n">
        <f aca="false">MIN(N7,O7)*(1+INDEX(SSP_OpexAdj,MATCH($D7,UWD_Asset,0)))</f>
        <v>-1534571.10974886</v>
      </c>
      <c r="Q7" s="25" t="n">
        <f aca="false">-MAX(0,SSP_MgmtFloor-SSP_MgmtEmbedded)*M7</f>
        <v>-47232.9683</v>
      </c>
      <c r="R7" s="25" t="n">
        <f aca="false">P7+Q7</f>
        <v>-1581804.07804886</v>
      </c>
      <c r="S7" s="53" t="n">
        <f aca="false">M7+R7</f>
        <v>3141492.75195115</v>
      </c>
      <c r="T7" s="26" t="n">
        <f aca="false">S7/M7</f>
        <v>0.665105934481603</v>
      </c>
      <c r="U7" s="25" t="n">
        <f aca="false">-SSP_ReservePU*F7</f>
        <v>-86400</v>
      </c>
      <c r="V7" s="25" t="n">
        <f aca="false">S7+U7</f>
        <v>3055092.75195115</v>
      </c>
      <c r="W7" s="49" t="n">
        <f aca="false">INDEX(Tape_NOI_UW,MATCH($D7,Tape_Property,0))</f>
        <v>3109129.37394395</v>
      </c>
      <c r="X7" s="26" t="n">
        <f aca="false">S7/W7-1</f>
        <v>0.0104091448488497</v>
      </c>
      <c r="Y7" s="49" t="n">
        <f aca="false">INDEX(Tape_NOI_TTM,MATCH($D7,Tape_Property,0))</f>
        <v>3194855.9434</v>
      </c>
      <c r="Z7" s="26" t="n">
        <f aca="false">S7/Y7-1</f>
        <v>-0.0167028474504758</v>
      </c>
    </row>
    <row r="8" customFormat="false" ht="15" hidden="false" customHeight="false" outlineLevel="0" collapsed="false">
      <c r="D8" s="65" t="str">
        <f aca="false">INDEX(UWD_Asset,ROWS(D$7:D8))</f>
        <v>Rise Bedford Lake</v>
      </c>
      <c r="E8" s="65" t="str">
        <f aca="false">INDEX(Tape_Market,MATCH($D8,Tape_Property,0))</f>
        <v>Dallas-Fort Worth</v>
      </c>
      <c r="F8" s="66" t="n">
        <f aca="false">INDEX(Tape_Units,MATCH($D8,Tape_Property,0))</f>
        <v>360</v>
      </c>
      <c r="G8" s="67" t="n">
        <f aca="false">INDEX(EconOcc_TTM,MATCH($D8,Tape_Property,0))</f>
        <v>0.916</v>
      </c>
      <c r="H8" s="67" t="n">
        <f aca="false">INDEX(SSP_EconOcc,MATCH($D8,UWD_Asset,0))</f>
        <v>0.916</v>
      </c>
      <c r="I8" s="51" t="n">
        <f aca="false">INDEX(Tape_GPR_UW,MATCH($D8,Tape_Property,0))</f>
        <v>4880868</v>
      </c>
      <c r="J8" s="51" t="n">
        <f aca="false">INDEX(Tape_EGI_TTM,MATCH($D8,Tape_Property,0))</f>
        <v>5565639.02</v>
      </c>
      <c r="K8" s="32" t="n">
        <f aca="false">(H8-G8)*I8</f>
        <v>0</v>
      </c>
      <c r="L8" s="32" t="n">
        <f aca="false">(J8+K8)*INDEX(SSP_EGIAdj,MATCH($D8,UWD_Asset,0))</f>
        <v>0</v>
      </c>
      <c r="M8" s="32" t="n">
        <f aca="false">J8+K8+L8</f>
        <v>5565639.02</v>
      </c>
      <c r="N8" s="32" t="n">
        <f aca="false">-INDEX(Tape_Opex_TTM,MATCH($D8,Tape_Property,0))</f>
        <v>-2986393.2904</v>
      </c>
      <c r="O8" s="32" t="n">
        <f aca="false">-INDEX(Tape_Opex_UW,MATCH($D8,Tape_Property,0))</f>
        <v>-2866586.94167349</v>
      </c>
      <c r="P8" s="32" t="n">
        <f aca="false">MIN(N8,O8)*(1+INDEX(SSP_OpexAdj,MATCH($D8,UWD_Asset,0)))</f>
        <v>-2986393.2904</v>
      </c>
      <c r="Q8" s="32" t="n">
        <f aca="false">-MAX(0,SSP_MgmtFloor-SSP_MgmtEmbedded)*M8</f>
        <v>-55656.3902</v>
      </c>
      <c r="R8" s="32" t="n">
        <f aca="false">P8+Q8</f>
        <v>-3042049.6806</v>
      </c>
      <c r="S8" s="69" t="n">
        <f aca="false">M8+R8</f>
        <v>2523589.3394</v>
      </c>
      <c r="T8" s="34" t="n">
        <f aca="false">S8/M8</f>
        <v>0.453423107451191</v>
      </c>
      <c r="U8" s="32" t="n">
        <f aca="false">-SSP_ReservePU*F8</f>
        <v>-108000</v>
      </c>
      <c r="V8" s="32" t="n">
        <f aca="false">S8+U8</f>
        <v>2415589.3394</v>
      </c>
      <c r="W8" s="51" t="n">
        <f aca="false">INDEX(Tape_NOI_UW,MATCH($D8,Tape_Property,0))</f>
        <v>2860245.32335448</v>
      </c>
      <c r="X8" s="34" t="n">
        <f aca="false">S8/W8-1</f>
        <v>-0.117701786348749</v>
      </c>
      <c r="Y8" s="51" t="n">
        <f aca="false">INDEX(Tape_NOI_TTM,MATCH($D8,Tape_Property,0))</f>
        <v>2579245.7296</v>
      </c>
      <c r="Z8" s="34" t="n">
        <f aca="false">S8/Y8-1</f>
        <v>-0.0215785528153734</v>
      </c>
    </row>
    <row r="9" customFormat="false" ht="15" hidden="false" customHeight="false" outlineLevel="0" collapsed="false">
      <c r="D9" s="61" t="str">
        <f aca="false">INDEX(UWD_Asset,ROWS(D$7:D9))</f>
        <v>Rise Creekside</v>
      </c>
      <c r="E9" s="61" t="str">
        <f aca="false">INDEX(Tape_Market,MATCH($D9,Tape_Property,0))</f>
        <v>Dallas-Fort Worth</v>
      </c>
      <c r="F9" s="57" t="n">
        <f aca="false">INDEX(Tape_Units,MATCH($D9,Tape_Property,0))</f>
        <v>228</v>
      </c>
      <c r="G9" s="62" t="n">
        <f aca="false">INDEX(EconOcc_TTM,MATCH($D9,Tape_Property,0))</f>
        <v>0.887</v>
      </c>
      <c r="H9" s="62" t="n">
        <f aca="false">INDEX(SSP_EconOcc,MATCH($D9,UWD_Asset,0))</f>
        <v>0.887</v>
      </c>
      <c r="I9" s="49" t="n">
        <f aca="false">INDEX(Tape_GPR_UW,MATCH($D9,Tape_Property,0))</f>
        <v>4032251.64</v>
      </c>
      <c r="J9" s="49" t="n">
        <f aca="false">INDEX(Tape_EGI_TTM,MATCH($D9,Tape_Property,0))</f>
        <v>4137693.64</v>
      </c>
      <c r="K9" s="25" t="n">
        <f aca="false">(H9-G9)*I9</f>
        <v>0</v>
      </c>
      <c r="L9" s="25" t="n">
        <f aca="false">(J9+K9)*INDEX(SSP_EGIAdj,MATCH($D9,UWD_Asset,0))</f>
        <v>0</v>
      </c>
      <c r="M9" s="25" t="n">
        <f aca="false">J9+K9+L9</f>
        <v>4137693.64</v>
      </c>
      <c r="N9" s="25" t="n">
        <f aca="false">-INDEX(Tape_Opex_TTM,MATCH($D9,Tape_Property,0))</f>
        <v>-2288065.0128</v>
      </c>
      <c r="O9" s="25" t="n">
        <f aca="false">-INDEX(Tape_Opex_UW,MATCH($D9,Tape_Property,0))</f>
        <v>-2204600.1380352</v>
      </c>
      <c r="P9" s="25" t="n">
        <f aca="false">MIN(N9,O9)*(1+INDEX(SSP_OpexAdj,MATCH($D9,UWD_Asset,0)))</f>
        <v>-2288065.0128</v>
      </c>
      <c r="Q9" s="25" t="n">
        <f aca="false">-MAX(0,SSP_MgmtFloor-SSP_MgmtEmbedded)*M9</f>
        <v>-41376.9364</v>
      </c>
      <c r="R9" s="25" t="n">
        <f aca="false">P9+Q9</f>
        <v>-2329441.9492</v>
      </c>
      <c r="S9" s="53" t="n">
        <f aca="false">M9+R9</f>
        <v>1808251.6908</v>
      </c>
      <c r="T9" s="26" t="n">
        <f aca="false">S9/M9</f>
        <v>0.43701923054893</v>
      </c>
      <c r="U9" s="25" t="n">
        <f aca="false">-SSP_ReservePU*F9</f>
        <v>-68400</v>
      </c>
      <c r="V9" s="25" t="n">
        <f aca="false">S9+U9</f>
        <v>1739851.6908</v>
      </c>
      <c r="W9" s="49" t="n">
        <f aca="false">INDEX(Tape_NOI_UW,MATCH($D9,Tape_Property,0))</f>
        <v>2352132.12770446</v>
      </c>
      <c r="X9" s="26" t="n">
        <f aca="false">S9/W9-1</f>
        <v>-0.231228692682011</v>
      </c>
      <c r="Y9" s="49" t="n">
        <f aca="false">INDEX(Tape_NOI_TTM,MATCH($D9,Tape_Property,0))</f>
        <v>1849628.6272</v>
      </c>
      <c r="Z9" s="26" t="n">
        <f aca="false">S9/Y9-1</f>
        <v>-0.0223704022480649</v>
      </c>
    </row>
    <row r="10" customFormat="false" ht="15" hidden="false" customHeight="false" outlineLevel="0" collapsed="false">
      <c r="D10" s="65" t="str">
        <f aca="false">INDEX(UWD_Asset,ROWS(D$7:D10))</f>
        <v>Rise Bridgeview</v>
      </c>
      <c r="E10" s="65" t="str">
        <f aca="false">INDEX(Tape_Market,MATCH($D10,Tape_Property,0))</f>
        <v>Greensboro</v>
      </c>
      <c r="F10" s="66" t="n">
        <f aca="false">INDEX(Tape_Units,MATCH($D10,Tape_Property,0))</f>
        <v>240</v>
      </c>
      <c r="G10" s="67" t="n">
        <f aca="false">INDEX(EconOcc_TTM,MATCH($D10,Tape_Property,0))</f>
        <v>0.925</v>
      </c>
      <c r="H10" s="67" t="n">
        <f aca="false">INDEX(SSP_EconOcc,MATCH($D10,UWD_Asset,0))</f>
        <v>0.925</v>
      </c>
      <c r="I10" s="51" t="n">
        <f aca="false">INDEX(Tape_GPR_UW,MATCH($D10,Tape_Property,0))</f>
        <v>3559800</v>
      </c>
      <c r="J10" s="51" t="n">
        <f aca="false">INDEX(Tape_EGI_TTM,MATCH($D10,Tape_Property,0))</f>
        <v>3625290.53</v>
      </c>
      <c r="K10" s="32" t="n">
        <f aca="false">(H10-G10)*I10</f>
        <v>0</v>
      </c>
      <c r="L10" s="32" t="n">
        <f aca="false">(J10+K10)*INDEX(SSP_EGIAdj,MATCH($D10,UWD_Asset,0))</f>
        <v>0</v>
      </c>
      <c r="M10" s="32" t="n">
        <f aca="false">J10+K10+L10</f>
        <v>3625290.53</v>
      </c>
      <c r="N10" s="32" t="n">
        <f aca="false">-INDEX(Tape_Opex_TTM,MATCH($D10,Tape_Property,0))</f>
        <v>-1610692.0106</v>
      </c>
      <c r="O10" s="32" t="n">
        <f aca="false">-INDEX(Tape_Opex_UW,MATCH($D10,Tape_Property,0))</f>
        <v>-1621879.37349435</v>
      </c>
      <c r="P10" s="32" t="n">
        <f aca="false">MIN(N10,O10)*(1+INDEX(SSP_OpexAdj,MATCH($D10,UWD_Asset,0)))</f>
        <v>-1621879.37349435</v>
      </c>
      <c r="Q10" s="32" t="n">
        <f aca="false">-MAX(0,SSP_MgmtFloor-SSP_MgmtEmbedded)*M10</f>
        <v>-36252.9053</v>
      </c>
      <c r="R10" s="32" t="n">
        <f aca="false">P10+Q10</f>
        <v>-1658132.27879435</v>
      </c>
      <c r="S10" s="69" t="n">
        <f aca="false">M10+R10</f>
        <v>1967158.25120565</v>
      </c>
      <c r="T10" s="34" t="n">
        <f aca="false">S10/M10</f>
        <v>0.542620856156776</v>
      </c>
      <c r="U10" s="32" t="n">
        <f aca="false">-SSP_ReservePU*F10</f>
        <v>-72000</v>
      </c>
      <c r="V10" s="32" t="n">
        <f aca="false">S10+U10</f>
        <v>1895158.25120565</v>
      </c>
      <c r="W10" s="51" t="n">
        <f aca="false">INDEX(Tape_NOI_UW,MATCH($D10,Tape_Property,0))</f>
        <v>2072242.16647312</v>
      </c>
      <c r="X10" s="34" t="n">
        <f aca="false">S10/W10-1</f>
        <v>-0.0507102485257867</v>
      </c>
      <c r="Y10" s="51" t="n">
        <f aca="false">INDEX(Tape_NOI_TTM,MATCH($D10,Tape_Property,0))</f>
        <v>2014598.5194</v>
      </c>
      <c r="Z10" s="34" t="n">
        <f aca="false">S10/Y10-1</f>
        <v>-0.0235482493099806</v>
      </c>
    </row>
    <row r="11" customFormat="false" ht="15" hidden="false" customHeight="false" outlineLevel="0" collapsed="false">
      <c r="D11" s="61" t="str">
        <f aca="false">INDEX(UWD_Asset,ROWS(D$7:D11))</f>
        <v>Rise Suncrest</v>
      </c>
      <c r="E11" s="61" t="str">
        <f aca="false">INDEX(Tape_Market,MATCH($D11,Tape_Property,0))</f>
        <v>Phoenix</v>
      </c>
      <c r="F11" s="57" t="n">
        <f aca="false">INDEX(Tape_Units,MATCH($D11,Tape_Property,0))</f>
        <v>160</v>
      </c>
      <c r="G11" s="62" t="n">
        <f aca="false">INDEX(EconOcc_TTM,MATCH($D11,Tape_Property,0))</f>
        <v>0.919</v>
      </c>
      <c r="H11" s="62" t="n">
        <f aca="false">INDEX(SSP_EconOcc,MATCH($D11,UWD_Asset,0))</f>
        <v>0.919</v>
      </c>
      <c r="I11" s="49" t="n">
        <f aca="false">INDEX(Tape_GPR_UW,MATCH($D11,Tape_Property,0))</f>
        <v>2880360</v>
      </c>
      <c r="J11" s="49" t="n">
        <f aca="false">INDEX(Tape_EGI_TTM,MATCH($D11,Tape_Property,0))</f>
        <v>2959201.35</v>
      </c>
      <c r="K11" s="25" t="n">
        <f aca="false">(H11-G11)*I11</f>
        <v>0</v>
      </c>
      <c r="L11" s="25" t="n">
        <f aca="false">(J11+K11)*INDEX(SSP_EGIAdj,MATCH($D11,UWD_Asset,0))</f>
        <v>0</v>
      </c>
      <c r="M11" s="25" t="n">
        <f aca="false">J11+K11+L11</f>
        <v>2959201.35</v>
      </c>
      <c r="N11" s="25" t="n">
        <f aca="false">-INDEX(Tape_Opex_TTM,MATCH($D11,Tape_Property,0))</f>
        <v>-994431.237</v>
      </c>
      <c r="O11" s="25" t="n">
        <f aca="false">-INDEX(Tape_Opex_UW,MATCH($D11,Tape_Property,0))</f>
        <v>-998534.713159949</v>
      </c>
      <c r="P11" s="25" t="n">
        <f aca="false">MIN(N11,O11)*(1+INDEX(SSP_OpexAdj,MATCH($D11,UWD_Asset,0)))</f>
        <v>-998534.713159949</v>
      </c>
      <c r="Q11" s="25" t="n">
        <f aca="false">-MAX(0,SSP_MgmtFloor-SSP_MgmtEmbedded)*M11</f>
        <v>-29592.0135</v>
      </c>
      <c r="R11" s="25" t="n">
        <f aca="false">P11+Q11</f>
        <v>-1028126.72665995</v>
      </c>
      <c r="S11" s="53" t="n">
        <f aca="false">M11+R11</f>
        <v>1931074.62334005</v>
      </c>
      <c r="T11" s="26" t="n">
        <f aca="false">S11/M11</f>
        <v>0.652566147058581</v>
      </c>
      <c r="U11" s="25" t="n">
        <f aca="false">-SSP_ReservePU*F11</f>
        <v>-48000</v>
      </c>
      <c r="V11" s="25" t="n">
        <f aca="false">S11+U11</f>
        <v>1883074.62334005</v>
      </c>
      <c r="W11" s="49" t="n">
        <f aca="false">INDEX(Tape_NOI_UW,MATCH($D11,Tape_Property,0))</f>
        <v>2092921.6598375</v>
      </c>
      <c r="X11" s="26" t="n">
        <f aca="false">S11/W11-1</f>
        <v>-0.0773306710916342</v>
      </c>
      <c r="Y11" s="49" t="n">
        <f aca="false">INDEX(Tape_NOI_TTM,MATCH($D11,Tape_Property,0))</f>
        <v>1964770.113</v>
      </c>
      <c r="Z11" s="26" t="n">
        <f aca="false">S11/Y11-1</f>
        <v>-0.0171498382619936</v>
      </c>
    </row>
    <row r="12" customFormat="false" ht="15" hidden="false" customHeight="false" outlineLevel="0" collapsed="false">
      <c r="D12" s="65" t="str">
        <f aca="false">INDEX(UWD_Asset,ROWS(D$7:D12))</f>
        <v>Rise Desert Cove</v>
      </c>
      <c r="E12" s="65" t="str">
        <f aca="false">INDEX(Tape_Market,MATCH($D12,Tape_Property,0))</f>
        <v>Phoenix</v>
      </c>
      <c r="F12" s="66" t="n">
        <f aca="false">INDEX(Tape_Units,MATCH($D12,Tape_Property,0))</f>
        <v>186</v>
      </c>
      <c r="G12" s="67" t="n">
        <f aca="false">INDEX(EconOcc_TTM,MATCH($D12,Tape_Property,0))</f>
        <v>0.939</v>
      </c>
      <c r="H12" s="67" t="n">
        <f aca="false">INDEX(SSP_EconOcc,MATCH($D12,UWD_Asset,0))</f>
        <v>0.939</v>
      </c>
      <c r="I12" s="51" t="n">
        <f aca="false">INDEX(Tape_GPR_UW,MATCH($D12,Tape_Property,0))</f>
        <v>3113095.44</v>
      </c>
      <c r="J12" s="51" t="n">
        <f aca="false">INDEX(Tape_EGI_TTM,MATCH($D12,Tape_Property,0))</f>
        <v>3233147.19</v>
      </c>
      <c r="K12" s="32" t="n">
        <f aca="false">(H12-G12)*I12</f>
        <v>0</v>
      </c>
      <c r="L12" s="32" t="n">
        <f aca="false">(J12+K12)*INDEX(SSP_EGIAdj,MATCH($D12,UWD_Asset,0))</f>
        <v>0</v>
      </c>
      <c r="M12" s="32" t="n">
        <f aca="false">J12+K12+L12</f>
        <v>3233147.19</v>
      </c>
      <c r="N12" s="32" t="n">
        <f aca="false">-INDEX(Tape_Opex_TTM,MATCH($D12,Tape_Property,0))</f>
        <v>-1125065.1038</v>
      </c>
      <c r="O12" s="32" t="n">
        <f aca="false">-INDEX(Tape_Opex_UW,MATCH($D12,Tape_Property,0))</f>
        <v>-1126003.9593187</v>
      </c>
      <c r="P12" s="32" t="n">
        <f aca="false">MIN(N12,O12)*(1+INDEX(SSP_OpexAdj,MATCH($D12,UWD_Asset,0)))</f>
        <v>-1126003.9593187</v>
      </c>
      <c r="Q12" s="32" t="n">
        <f aca="false">-MAX(0,SSP_MgmtFloor-SSP_MgmtEmbedded)*M12</f>
        <v>-32331.4719</v>
      </c>
      <c r="R12" s="32" t="n">
        <f aca="false">P12+Q12</f>
        <v>-1158335.4312187</v>
      </c>
      <c r="S12" s="69" t="n">
        <f aca="false">M12+R12</f>
        <v>2074811.7587813</v>
      </c>
      <c r="T12" s="34" t="n">
        <f aca="false">S12/M12</f>
        <v>0.641731302923236</v>
      </c>
      <c r="U12" s="32" t="n">
        <f aca="false">-SSP_ReservePU*F12</f>
        <v>-55800</v>
      </c>
      <c r="V12" s="32" t="n">
        <f aca="false">S12+U12</f>
        <v>2019011.7587813</v>
      </c>
      <c r="W12" s="51" t="n">
        <f aca="false">INDEX(Tape_NOI_UW,MATCH($D12,Tape_Property,0))</f>
        <v>2202870.39161631</v>
      </c>
      <c r="X12" s="34" t="n">
        <f aca="false">S12/W12-1</f>
        <v>-0.0581326224740125</v>
      </c>
      <c r="Y12" s="51" t="n">
        <f aca="false">INDEX(Tape_NOI_TTM,MATCH($D12,Tape_Property,0))</f>
        <v>2108082.0862</v>
      </c>
      <c r="Z12" s="34" t="n">
        <f aca="false">S12/Y12-1</f>
        <v>-0.0157822732029721</v>
      </c>
    </row>
    <row r="13" customFormat="false" ht="15" hidden="false" customHeight="false" outlineLevel="0" collapsed="false">
      <c r="D13" s="61" t="str">
        <f aca="false">INDEX(UWD_Asset,ROWS(D$7:D13))</f>
        <v>Rise Fossil Creek</v>
      </c>
      <c r="E13" s="61" t="str">
        <f aca="false">INDEX(Tape_Market,MATCH($D13,Tape_Property,0))</f>
        <v>Dallas-Fort Worth</v>
      </c>
      <c r="F13" s="57" t="n">
        <f aca="false">INDEX(Tape_Units,MATCH($D13,Tape_Property,0))</f>
        <v>288</v>
      </c>
      <c r="G13" s="62" t="n">
        <f aca="false">INDEX(EconOcc_TTM,MATCH($D13,Tape_Property,0))</f>
        <v>0.915</v>
      </c>
      <c r="H13" s="62" t="n">
        <f aca="false">INDEX(SSP_EconOcc,MATCH($D13,UWD_Asset,0))</f>
        <v>0.915</v>
      </c>
      <c r="I13" s="49" t="n">
        <f aca="false">INDEX(Tape_GPR_UW,MATCH($D13,Tape_Property,0))</f>
        <v>4140576</v>
      </c>
      <c r="J13" s="49" t="n">
        <f aca="false">INDEX(Tape_EGI_TTM,MATCH($D13,Tape_Property,0))</f>
        <v>4536908.71</v>
      </c>
      <c r="K13" s="25" t="n">
        <f aca="false">(H13-G13)*I13</f>
        <v>0</v>
      </c>
      <c r="L13" s="25" t="n">
        <f aca="false">(J13+K13)*INDEX(SSP_EGIAdj,MATCH($D13,UWD_Asset,0))</f>
        <v>0</v>
      </c>
      <c r="M13" s="25" t="n">
        <f aca="false">J13+K13+L13</f>
        <v>4536908.71</v>
      </c>
      <c r="N13" s="25" t="n">
        <f aca="false">-INDEX(Tape_Opex_TTM,MATCH($D13,Tape_Property,0))</f>
        <v>-2499396.1642</v>
      </c>
      <c r="O13" s="25" t="n">
        <f aca="false">-INDEX(Tape_Opex_UW,MATCH($D13,Tape_Property,0))</f>
        <v>-2416668.28061951</v>
      </c>
      <c r="P13" s="25" t="n">
        <f aca="false">MIN(N13,O13)*(1+INDEX(SSP_OpexAdj,MATCH($D13,UWD_Asset,0)))</f>
        <v>-2499396.1642</v>
      </c>
      <c r="Q13" s="25" t="n">
        <f aca="false">-MAX(0,SSP_MgmtFloor-SSP_MgmtEmbedded)*M13</f>
        <v>-45369.0871</v>
      </c>
      <c r="R13" s="25" t="n">
        <f aca="false">P13+Q13</f>
        <v>-2544765.2513</v>
      </c>
      <c r="S13" s="53" t="n">
        <f aca="false">M13+R13</f>
        <v>1992143.4587</v>
      </c>
      <c r="T13" s="26" t="n">
        <f aca="false">S13/M13</f>
        <v>0.439097100258824</v>
      </c>
      <c r="U13" s="25" t="n">
        <f aca="false">-SSP_ReservePU*F13</f>
        <v>-86400</v>
      </c>
      <c r="V13" s="25" t="n">
        <f aca="false">S13+U13</f>
        <v>1905743.4587</v>
      </c>
      <c r="W13" s="49" t="n">
        <f aca="false">INDEX(Tape_NOI_UW,MATCH($D13,Tape_Property,0))</f>
        <v>2197596.14839892</v>
      </c>
      <c r="X13" s="26" t="n">
        <f aca="false">S13/W13-1</f>
        <v>-0.0934897387077255</v>
      </c>
      <c r="Y13" s="49" t="n">
        <f aca="false">INDEX(Tape_NOI_TTM,MATCH($D13,Tape_Property,0))</f>
        <v>2037512.5458</v>
      </c>
      <c r="Z13" s="26" t="n">
        <f aca="false">S13/Y13-1</f>
        <v>-0.0222668995062244</v>
      </c>
    </row>
    <row r="14" customFormat="false" ht="15" hidden="false" customHeight="false" outlineLevel="0" collapsed="false">
      <c r="D14" s="65" t="str">
        <f aca="false">INDEX(UWD_Asset,ROWS(D$7:D14))</f>
        <v>Rise Desert West</v>
      </c>
      <c r="E14" s="65" t="str">
        <f aca="false">INDEX(Tape_Market,MATCH($D14,Tape_Property,0))</f>
        <v>Phoenix</v>
      </c>
      <c r="F14" s="66" t="n">
        <f aca="false">INDEX(Tape_Units,MATCH($D14,Tape_Property,0))</f>
        <v>204</v>
      </c>
      <c r="G14" s="67" t="n">
        <f aca="false">INDEX(EconOcc_TTM,MATCH($D14,Tape_Property,0))</f>
        <v>0.912</v>
      </c>
      <c r="H14" s="67" t="n">
        <f aca="false">INDEX(SSP_EconOcc,MATCH($D14,UWD_Asset,0))</f>
        <v>0.912</v>
      </c>
      <c r="I14" s="51" t="n">
        <f aca="false">INDEX(Tape_GPR_UW,MATCH($D14,Tape_Property,0))</f>
        <v>3058752</v>
      </c>
      <c r="J14" s="51" t="n">
        <f aca="false">INDEX(Tape_EGI_TTM,MATCH($D14,Tape_Property,0))</f>
        <v>3093164.89</v>
      </c>
      <c r="K14" s="32" t="n">
        <f aca="false">(H14-G14)*I14</f>
        <v>0</v>
      </c>
      <c r="L14" s="32" t="n">
        <f aca="false">(J14+K14)*INDEX(SSP_EGIAdj,MATCH($D14,UWD_Asset,0))</f>
        <v>0</v>
      </c>
      <c r="M14" s="32" t="n">
        <f aca="false">J14+K14+L14</f>
        <v>3093164.89</v>
      </c>
      <c r="N14" s="32" t="n">
        <f aca="false">-INDEX(Tape_Opex_TTM,MATCH($D14,Tape_Property,0))</f>
        <v>-1294349.6878</v>
      </c>
      <c r="O14" s="32" t="n">
        <f aca="false">-INDEX(Tape_Opex_UW,MATCH($D14,Tape_Property,0))</f>
        <v>-1305379.25945039</v>
      </c>
      <c r="P14" s="32" t="n">
        <f aca="false">MIN(N14,O14)*(1+INDEX(SSP_OpexAdj,MATCH($D14,UWD_Asset,0)))</f>
        <v>-1305379.25945039</v>
      </c>
      <c r="Q14" s="32" t="n">
        <f aca="false">-MAX(0,SSP_MgmtFloor-SSP_MgmtEmbedded)*M14</f>
        <v>-30931.6489</v>
      </c>
      <c r="R14" s="32" t="n">
        <f aca="false">P14+Q14</f>
        <v>-1336310.90835039</v>
      </c>
      <c r="S14" s="69" t="n">
        <f aca="false">M14+R14</f>
        <v>1756853.98164961</v>
      </c>
      <c r="T14" s="34" t="n">
        <f aca="false">S14/M14</f>
        <v>0.567979414007124</v>
      </c>
      <c r="U14" s="32" t="n">
        <f aca="false">-SSP_ReservePU*F14</f>
        <v>-61200</v>
      </c>
      <c r="V14" s="32" t="n">
        <f aca="false">S14+U14</f>
        <v>1695653.98164961</v>
      </c>
      <c r="W14" s="51" t="n">
        <f aca="false">INDEX(Tape_NOI_UW,MATCH($D14,Tape_Property,0))</f>
        <v>2006576.86681907</v>
      </c>
      <c r="X14" s="34" t="n">
        <f aca="false">S14/W14-1</f>
        <v>-0.124452189845753</v>
      </c>
      <c r="Y14" s="51" t="n">
        <f aca="false">INDEX(Tape_NOI_TTM,MATCH($D14,Tape_Property,0))</f>
        <v>1798815.2022</v>
      </c>
      <c r="Z14" s="34" t="n">
        <f aca="false">S14/Y14-1</f>
        <v>-0.023327143610455</v>
      </c>
    </row>
    <row r="15" customFormat="false" ht="15" hidden="false" customHeight="false" outlineLevel="0" collapsed="false">
      <c r="D15" s="61" t="str">
        <f aca="false">INDEX(UWD_Asset,ROWS(D$7:D15))</f>
        <v>Rise Lakeside</v>
      </c>
      <c r="E15" s="61" t="str">
        <f aca="false">INDEX(Tape_Market,MATCH($D15,Tape_Property,0))</f>
        <v>Phoenix</v>
      </c>
      <c r="F15" s="57" t="n">
        <f aca="false">INDEX(Tape_Units,MATCH($D15,Tape_Property,0))</f>
        <v>288</v>
      </c>
      <c r="G15" s="62" t="n">
        <f aca="false">INDEX(EconOcc_TTM,MATCH($D15,Tape_Property,0))</f>
        <v>0.788</v>
      </c>
      <c r="H15" s="62" t="n">
        <f aca="false">INDEX(SSP_EconOcc,MATCH($D15,UWD_Asset,0))</f>
        <v>0.788</v>
      </c>
      <c r="I15" s="49" t="n">
        <f aca="false">INDEX(Tape_GPR_UW,MATCH($D15,Tape_Property,0))</f>
        <v>4036140</v>
      </c>
      <c r="J15" s="49" t="n">
        <f aca="false">INDEX(Tape_EGI_TTM,MATCH($D15,Tape_Property,0))</f>
        <v>3471073.09</v>
      </c>
      <c r="K15" s="25" t="n">
        <f aca="false">(H15-G15)*I15</f>
        <v>0</v>
      </c>
      <c r="L15" s="25" t="n">
        <f aca="false">(J15+K15)*INDEX(SSP_EGIAdj,MATCH($D15,UWD_Asset,0))</f>
        <v>0</v>
      </c>
      <c r="M15" s="25" t="n">
        <f aca="false">J15+K15+L15</f>
        <v>3471073.09</v>
      </c>
      <c r="N15" s="25" t="n">
        <f aca="false">-INDEX(Tape_Opex_TTM,MATCH($D15,Tape_Property,0))</f>
        <v>-1876340.4418</v>
      </c>
      <c r="O15" s="25" t="n">
        <f aca="false">-INDEX(Tape_Opex_UW,MATCH($D15,Tape_Property,0))</f>
        <v>-1886233.05811588</v>
      </c>
      <c r="P15" s="25" t="n">
        <f aca="false">MIN(N15,O15)*(1+INDEX(SSP_OpexAdj,MATCH($D15,UWD_Asset,0)))</f>
        <v>-1886233.05811588</v>
      </c>
      <c r="Q15" s="25" t="n">
        <f aca="false">-MAX(0,SSP_MgmtFloor-SSP_MgmtEmbedded)*M15</f>
        <v>-34710.7309</v>
      </c>
      <c r="R15" s="25" t="n">
        <f aca="false">P15+Q15</f>
        <v>-1920943.78901588</v>
      </c>
      <c r="S15" s="53" t="n">
        <f aca="false">M15+R15</f>
        <v>1550129.30098412</v>
      </c>
      <c r="T15" s="26" t="n">
        <f aca="false">S15/M15</f>
        <v>0.44658503603683</v>
      </c>
      <c r="U15" s="25" t="n">
        <f aca="false">-SSP_ReservePU*F15</f>
        <v>-86400</v>
      </c>
      <c r="V15" s="25" t="n">
        <f aca="false">S15+U15</f>
        <v>1463729.30098412</v>
      </c>
      <c r="W15" s="49" t="n">
        <f aca="false">INDEX(Tape_NOI_UW,MATCH($D15,Tape_Property,0))</f>
        <v>2148387.46267814</v>
      </c>
      <c r="X15" s="26" t="n">
        <f aca="false">S15/W15-1</f>
        <v>-0.278468466273884</v>
      </c>
      <c r="Y15" s="49" t="n">
        <f aca="false">INDEX(Tape_NOI_TTM,MATCH($D15,Tape_Property,0))</f>
        <v>1594732.6482</v>
      </c>
      <c r="Z15" s="26" t="n">
        <f aca="false">S15/Y15-1</f>
        <v>-0.0279691691684024</v>
      </c>
    </row>
    <row r="16" customFormat="false" ht="15" hidden="false" customHeight="false" outlineLevel="0" collapsed="false">
      <c r="D16" s="65" t="str">
        <f aca="false">INDEX(UWD_Asset,ROWS(D$7:D16))</f>
        <v>Rise Spring Pointe</v>
      </c>
      <c r="E16" s="65" t="str">
        <f aca="false">INDEX(Tape_Market,MATCH($D16,Tape_Property,0))</f>
        <v>Dallas-Fort Worth</v>
      </c>
      <c r="F16" s="66" t="n">
        <f aca="false">INDEX(Tape_Units,MATCH($D16,Tape_Property,0))</f>
        <v>323</v>
      </c>
      <c r="G16" s="67" t="n">
        <f aca="false">INDEX(EconOcc_TTM,MATCH($D16,Tape_Property,0))</f>
        <v>0.902</v>
      </c>
      <c r="H16" s="67" t="n">
        <f aca="false">INDEX(SSP_EconOcc,MATCH($D16,UWD_Asset,0))</f>
        <v>0.902</v>
      </c>
      <c r="I16" s="51" t="n">
        <f aca="false">INDEX(Tape_GPR_UW,MATCH($D16,Tape_Property,0))</f>
        <v>3757571.28</v>
      </c>
      <c r="J16" s="51" t="n">
        <f aca="false">INDEX(Tape_EGI_TTM,MATCH($D16,Tape_Property,0))</f>
        <v>4292621.88</v>
      </c>
      <c r="K16" s="32" t="n">
        <f aca="false">(H16-G16)*I16</f>
        <v>0</v>
      </c>
      <c r="L16" s="32" t="n">
        <f aca="false">(J16+K16)*INDEX(SSP_EGIAdj,MATCH($D16,UWD_Asset,0))</f>
        <v>0</v>
      </c>
      <c r="M16" s="32" t="n">
        <f aca="false">J16+K16+L16</f>
        <v>4292621.88</v>
      </c>
      <c r="N16" s="32" t="n">
        <f aca="false">-INDEX(Tape_Opex_TTM,MATCH($D16,Tape_Property,0))</f>
        <v>-2423277.9176</v>
      </c>
      <c r="O16" s="32" t="n">
        <f aca="false">-INDEX(Tape_Opex_UW,MATCH($D16,Tape_Property,0))</f>
        <v>-2439705.30805883</v>
      </c>
      <c r="P16" s="32" t="n">
        <f aca="false">MIN(N16,O16)*(1+INDEX(SSP_OpexAdj,MATCH($D16,UWD_Asset,0)))</f>
        <v>-2439705.30805883</v>
      </c>
      <c r="Q16" s="32" t="n">
        <f aca="false">-MAX(0,SSP_MgmtFloor-SSP_MgmtEmbedded)*M16</f>
        <v>-42926.2188</v>
      </c>
      <c r="R16" s="32" t="n">
        <f aca="false">P16+Q16</f>
        <v>-2482631.52685883</v>
      </c>
      <c r="S16" s="69" t="n">
        <f aca="false">M16+R16</f>
        <v>1809990.35314117</v>
      </c>
      <c r="T16" s="34" t="n">
        <f aca="false">S16/M16</f>
        <v>0.421651476356256</v>
      </c>
      <c r="U16" s="32" t="n">
        <f aca="false">-SSP_ReservePU*F16</f>
        <v>-96900</v>
      </c>
      <c r="V16" s="32" t="n">
        <f aca="false">S16+U16</f>
        <v>1713090.35314117</v>
      </c>
      <c r="W16" s="51" t="n">
        <f aca="false">INDEX(Tape_NOI_UW,MATCH($D16,Tape_Property,0))</f>
        <v>1845474.8564276</v>
      </c>
      <c r="X16" s="34" t="n">
        <f aca="false">S16/W16-1</f>
        <v>-0.0192278443474012</v>
      </c>
      <c r="Y16" s="51" t="n">
        <f aca="false">INDEX(Tape_NOI_TTM,MATCH($D16,Tape_Property,0))</f>
        <v>1869343.9624</v>
      </c>
      <c r="Z16" s="34" t="n">
        <f aca="false">S16/Y16-1</f>
        <v>-0.031751036969478</v>
      </c>
    </row>
    <row r="17" customFormat="false" ht="15" hidden="false" customHeight="false" outlineLevel="0" collapsed="false">
      <c r="D17" s="61" t="str">
        <f aca="false">INDEX(UWD_Asset,ROWS(D$7:D17))</f>
        <v>Rise Skyline</v>
      </c>
      <c r="E17" s="61" t="str">
        <f aca="false">INDEX(Tape_Market,MATCH($D17,Tape_Property,0))</f>
        <v>Dallas-Fort Worth</v>
      </c>
      <c r="F17" s="57" t="n">
        <f aca="false">INDEX(Tape_Units,MATCH($D17,Tape_Property,0))</f>
        <v>200</v>
      </c>
      <c r="G17" s="62" t="n">
        <f aca="false">INDEX(EconOcc_TTM,MATCH($D17,Tape_Property,0))</f>
        <v>0.911</v>
      </c>
      <c r="H17" s="62" t="n">
        <f aca="false">INDEX(SSP_EconOcc,MATCH($D17,UWD_Asset,0))</f>
        <v>0.911</v>
      </c>
      <c r="I17" s="49" t="n">
        <f aca="false">INDEX(Tape_GPR_UW,MATCH($D17,Tape_Property,0))</f>
        <v>3256296</v>
      </c>
      <c r="J17" s="49" t="n">
        <f aca="false">INDEX(Tape_EGI_TTM,MATCH($D17,Tape_Property,0))</f>
        <v>3635689.65</v>
      </c>
      <c r="K17" s="25" t="n">
        <f aca="false">(H17-G17)*I17</f>
        <v>0</v>
      </c>
      <c r="L17" s="25" t="n">
        <f aca="false">(J17+K17)*INDEX(SSP_EGIAdj,MATCH($D17,UWD_Asset,0))</f>
        <v>0</v>
      </c>
      <c r="M17" s="25" t="n">
        <f aca="false">J17+K17+L17</f>
        <v>3635689.65</v>
      </c>
      <c r="N17" s="25" t="n">
        <f aca="false">-INDEX(Tape_Opex_TTM,MATCH($D17,Tape_Property,0))</f>
        <v>-2101561.813</v>
      </c>
      <c r="O17" s="25" t="n">
        <f aca="false">-INDEX(Tape_Opex_UW,MATCH($D17,Tape_Property,0))</f>
        <v>-2058574.92492516</v>
      </c>
      <c r="P17" s="25" t="n">
        <f aca="false">MIN(N17,O17)*(1+INDEX(SSP_OpexAdj,MATCH($D17,UWD_Asset,0)))</f>
        <v>-2101561.813</v>
      </c>
      <c r="Q17" s="25" t="n">
        <f aca="false">-MAX(0,SSP_MgmtFloor-SSP_MgmtEmbedded)*M17</f>
        <v>-36356.8965</v>
      </c>
      <c r="R17" s="25" t="n">
        <f aca="false">P17+Q17</f>
        <v>-2137918.7095</v>
      </c>
      <c r="S17" s="53" t="n">
        <f aca="false">M17+R17</f>
        <v>1497770.9405</v>
      </c>
      <c r="T17" s="26" t="n">
        <f aca="false">S17/M17</f>
        <v>0.411963364502248</v>
      </c>
      <c r="U17" s="25" t="n">
        <f aca="false">-SSP_ReservePU*F17</f>
        <v>-60000</v>
      </c>
      <c r="V17" s="25" t="n">
        <f aca="false">S17+U17</f>
        <v>1437770.9405</v>
      </c>
      <c r="W17" s="49" t="n">
        <f aca="false">INDEX(Tape_NOI_UW,MATCH($D17,Tape_Property,0))</f>
        <v>1750620.92344894</v>
      </c>
      <c r="X17" s="26" t="n">
        <f aca="false">S17/W17-1</f>
        <v>-0.144434457261481</v>
      </c>
      <c r="Y17" s="49" t="n">
        <f aca="false">INDEX(Tape_NOI_TTM,MATCH($D17,Tape_Property,0))</f>
        <v>1534127.837</v>
      </c>
      <c r="Z17" s="26" t="n">
        <f aca="false">S17/Y17-1</f>
        <v>-0.0236987398462803</v>
      </c>
    </row>
    <row r="18" customFormat="false" ht="15" hidden="false" customHeight="false" outlineLevel="0" collapsed="false">
      <c r="D18" s="65" t="str">
        <f aca="false">INDEX(UWD_Asset,ROWS(D$7:D18))</f>
        <v>Rise Hillcrest</v>
      </c>
      <c r="E18" s="65" t="str">
        <f aca="false">INDEX(Tape_Market,MATCH($D18,Tape_Property,0))</f>
        <v>Dallas-Fort Worth</v>
      </c>
      <c r="F18" s="66" t="n">
        <f aca="false">INDEX(Tape_Units,MATCH($D18,Tape_Property,0))</f>
        <v>224</v>
      </c>
      <c r="G18" s="67" t="n">
        <f aca="false">INDEX(EconOcc_TTM,MATCH($D18,Tape_Property,0))</f>
        <v>0.926</v>
      </c>
      <c r="H18" s="67" t="n">
        <f aca="false">INDEX(SSP_EconOcc,MATCH($D18,UWD_Asset,0))</f>
        <v>0.926</v>
      </c>
      <c r="I18" s="51" t="n">
        <f aca="false">INDEX(Tape_GPR_UW,MATCH($D18,Tape_Property,0))</f>
        <v>3215340</v>
      </c>
      <c r="J18" s="51" t="n">
        <f aca="false">INDEX(Tape_EGI_TTM,MATCH($D18,Tape_Property,0))</f>
        <v>3543969.1</v>
      </c>
      <c r="K18" s="32" t="n">
        <f aca="false">(H18-G18)*I18</f>
        <v>0</v>
      </c>
      <c r="L18" s="32" t="n">
        <f aca="false">(J18+K18)*INDEX(SSP_EGIAdj,MATCH($D18,UWD_Asset,0))</f>
        <v>0</v>
      </c>
      <c r="M18" s="32" t="n">
        <f aca="false">J18+K18+L18</f>
        <v>3543969.1</v>
      </c>
      <c r="N18" s="32" t="n">
        <f aca="false">-INDEX(Tape_Opex_TTM,MATCH($D18,Tape_Property,0))</f>
        <v>-1929424.952</v>
      </c>
      <c r="O18" s="32" t="n">
        <f aca="false">-INDEX(Tape_Opex_UW,MATCH($D18,Tape_Property,0))</f>
        <v>-1889938.45777616</v>
      </c>
      <c r="P18" s="32" t="n">
        <f aca="false">MIN(N18,O18)*(1+INDEX(SSP_OpexAdj,MATCH($D18,UWD_Asset,0)))</f>
        <v>-1929424.952</v>
      </c>
      <c r="Q18" s="32" t="n">
        <f aca="false">-MAX(0,SSP_MgmtFloor-SSP_MgmtEmbedded)*M18</f>
        <v>-35439.691</v>
      </c>
      <c r="R18" s="32" t="n">
        <f aca="false">P18+Q18</f>
        <v>-1964864.643</v>
      </c>
      <c r="S18" s="69" t="n">
        <f aca="false">M18+R18</f>
        <v>1579104.457</v>
      </c>
      <c r="T18" s="34" t="n">
        <f aca="false">S18/M18</f>
        <v>0.445575119997519</v>
      </c>
      <c r="U18" s="32" t="n">
        <f aca="false">-SSP_ReservePU*F18</f>
        <v>-67200</v>
      </c>
      <c r="V18" s="32" t="n">
        <f aca="false">S18+U18</f>
        <v>1511904.457</v>
      </c>
      <c r="W18" s="51" t="n">
        <f aca="false">INDEX(Tape_NOI_UW,MATCH($D18,Tape_Property,0))</f>
        <v>1576649.31113792</v>
      </c>
      <c r="X18" s="34" t="n">
        <f aca="false">S18/W18-1</f>
        <v>0.00155719210653937</v>
      </c>
      <c r="Y18" s="51" t="n">
        <f aca="false">INDEX(Tape_NOI_TTM,MATCH($D18,Tape_Property,0))</f>
        <v>1614544.148</v>
      </c>
      <c r="Z18" s="34" t="n">
        <f aca="false">S18/Y18-1</f>
        <v>-0.0219502768282308</v>
      </c>
    </row>
    <row r="19" customFormat="false" ht="15" hidden="false" customHeight="false" outlineLevel="0" collapsed="false">
      <c r="D19" s="61" t="str">
        <f aca="false">INDEX(UWD_Asset,ROWS(D$7:D19))</f>
        <v>Rise on Cave Creek</v>
      </c>
      <c r="E19" s="61" t="str">
        <f aca="false">INDEX(Tape_Market,MATCH($D19,Tape_Property,0))</f>
        <v>Phoenix</v>
      </c>
      <c r="F19" s="57" t="n">
        <f aca="false">INDEX(Tape_Units,MATCH($D19,Tape_Property,0))</f>
        <v>141</v>
      </c>
      <c r="G19" s="62" t="n">
        <f aca="false">INDEX(EconOcc_TTM,MATCH($D19,Tape_Property,0))</f>
        <v>0.871</v>
      </c>
      <c r="H19" s="62" t="n">
        <f aca="false">INDEX(SSP_EconOcc,MATCH($D19,UWD_Asset,0))</f>
        <v>0.871</v>
      </c>
      <c r="I19" s="49" t="n">
        <f aca="false">INDEX(Tape_GPR_UW,MATCH($D19,Tape_Property,0))</f>
        <v>2210400</v>
      </c>
      <c r="J19" s="49" t="n">
        <f aca="false">INDEX(Tape_EGI_TTM,MATCH($D19,Tape_Property,0))</f>
        <v>2239601.31</v>
      </c>
      <c r="K19" s="25" t="n">
        <f aca="false">(H19-G19)*I19</f>
        <v>0</v>
      </c>
      <c r="L19" s="25" t="n">
        <f aca="false">(J19+K19)*INDEX(SSP_EGIAdj,MATCH($D19,UWD_Asset,0))</f>
        <v>0</v>
      </c>
      <c r="M19" s="25" t="n">
        <f aca="false">J19+K19+L19</f>
        <v>2239601.31</v>
      </c>
      <c r="N19" s="25" t="n">
        <f aca="false">-INDEX(Tape_Opex_TTM,MATCH($D19,Tape_Property,0))</f>
        <v>-893957.2162</v>
      </c>
      <c r="O19" s="25" t="n">
        <f aca="false">-INDEX(Tape_Opex_UW,MATCH($D19,Tape_Property,0))</f>
        <v>-894297.151236295</v>
      </c>
      <c r="P19" s="25" t="n">
        <f aca="false">MIN(N19,O19)*(1+INDEX(SSP_OpexAdj,MATCH($D19,UWD_Asset,0)))</f>
        <v>-894297.151236295</v>
      </c>
      <c r="Q19" s="25" t="n">
        <f aca="false">-MAX(0,SSP_MgmtFloor-SSP_MgmtEmbedded)*M19</f>
        <v>-22396.0131</v>
      </c>
      <c r="R19" s="25" t="n">
        <f aca="false">P19+Q19</f>
        <v>-916693.164336295</v>
      </c>
      <c r="S19" s="53" t="n">
        <f aca="false">M19+R19</f>
        <v>1322908.14566371</v>
      </c>
      <c r="T19" s="26" t="n">
        <f aca="false">S19/M19</f>
        <v>0.5906891283537</v>
      </c>
      <c r="U19" s="25" t="n">
        <f aca="false">-SSP_ReservePU*F19</f>
        <v>-42300</v>
      </c>
      <c r="V19" s="25" t="n">
        <f aca="false">S19+U19</f>
        <v>1280608.14566371</v>
      </c>
      <c r="W19" s="49" t="n">
        <f aca="false">INDEX(Tape_NOI_UW,MATCH($D19,Tape_Property,0))</f>
        <v>1413733.05682845</v>
      </c>
      <c r="X19" s="26" t="n">
        <f aca="false">S19/W19-1</f>
        <v>-0.0642447389385515</v>
      </c>
      <c r="Y19" s="49" t="n">
        <f aca="false">INDEX(Tape_NOI_TTM,MATCH($D19,Tape_Property,0))</f>
        <v>1345644.0938</v>
      </c>
      <c r="Z19" s="26" t="n">
        <f aca="false">S19/Y19-1</f>
        <v>-0.0168959595193482</v>
      </c>
    </row>
    <row r="20" customFormat="false" ht="15" hidden="false" customHeight="false" outlineLevel="0" collapsed="false">
      <c r="D20" s="65" t="str">
        <f aca="false">INDEX(UWD_Asset,ROWS(D$7:D20))</f>
        <v>Rise West Arlington</v>
      </c>
      <c r="E20" s="65" t="str">
        <f aca="false">INDEX(Tape_Market,MATCH($D20,Tape_Property,0))</f>
        <v>Dallas-Fort Worth</v>
      </c>
      <c r="F20" s="66" t="n">
        <f aca="false">INDEX(Tape_Units,MATCH($D20,Tape_Property,0))</f>
        <v>220</v>
      </c>
      <c r="G20" s="67" t="n">
        <f aca="false">INDEX(EconOcc_TTM,MATCH($D20,Tape_Property,0))</f>
        <v>0.872</v>
      </c>
      <c r="H20" s="67" t="n">
        <f aca="false">INDEX(SSP_EconOcc,MATCH($D20,UWD_Asset,0))</f>
        <v>0.872</v>
      </c>
      <c r="I20" s="51" t="n">
        <f aca="false">INDEX(Tape_GPR_UW,MATCH($D20,Tape_Property,0))</f>
        <v>3263832</v>
      </c>
      <c r="J20" s="51" t="n">
        <f aca="false">INDEX(Tape_EGI_TTM,MATCH($D20,Tape_Property,0))</f>
        <v>2934972.01</v>
      </c>
      <c r="K20" s="32" t="n">
        <f aca="false">(H20-G20)*I20</f>
        <v>0</v>
      </c>
      <c r="L20" s="32" t="n">
        <f aca="false">(J20+K20)*INDEX(SSP_EGIAdj,MATCH($D20,UWD_Asset,0))</f>
        <v>0</v>
      </c>
      <c r="M20" s="32" t="n">
        <f aca="false">J20+K20+L20</f>
        <v>2934972.01</v>
      </c>
      <c r="N20" s="32" t="n">
        <f aca="false">-INDEX(Tape_Opex_TTM,MATCH($D20,Tape_Property,0))</f>
        <v>-1777324.0702</v>
      </c>
      <c r="O20" s="32" t="n">
        <f aca="false">-INDEX(Tape_Opex_UW,MATCH($D20,Tape_Property,0))</f>
        <v>-1939132.35500619</v>
      </c>
      <c r="P20" s="32" t="n">
        <f aca="false">MIN(N20,O20)*(1+INDEX(SSP_OpexAdj,MATCH($D20,UWD_Asset,0)))</f>
        <v>-1939132.35500619</v>
      </c>
      <c r="Q20" s="32" t="n">
        <f aca="false">-MAX(0,SSP_MgmtFloor-SSP_MgmtEmbedded)*M20</f>
        <v>-29349.7201</v>
      </c>
      <c r="R20" s="32" t="n">
        <f aca="false">P20+Q20</f>
        <v>-1968482.07510619</v>
      </c>
      <c r="S20" s="69" t="n">
        <f aca="false">M20+R20</f>
        <v>966489.934893808</v>
      </c>
      <c r="T20" s="34" t="n">
        <f aca="false">S20/M20</f>
        <v>0.329301244305157</v>
      </c>
      <c r="U20" s="32" t="n">
        <f aca="false">-SSP_ReservePU*F20</f>
        <v>-66000</v>
      </c>
      <c r="V20" s="32" t="n">
        <f aca="false">S20+U20</f>
        <v>900489.934893808</v>
      </c>
      <c r="W20" s="51" t="n">
        <f aca="false">INDEX(Tape_NOI_UW,MATCH($D20,Tape_Property,0))</f>
        <v>1654127.04112039</v>
      </c>
      <c r="X20" s="34" t="n">
        <f aca="false">S20/W20-1</f>
        <v>-0.415709972168053</v>
      </c>
      <c r="Y20" s="51" t="n">
        <f aca="false">INDEX(Tape_NOI_TTM,MATCH($D20,Tape_Property,0))</f>
        <v>1157647.9398</v>
      </c>
      <c r="Z20" s="34" t="n">
        <f aca="false">S20/Y20-1</f>
        <v>-0.165126199714239</v>
      </c>
    </row>
    <row r="21" customFormat="false" ht="15" hidden="false" customHeight="false" outlineLevel="0" collapsed="false">
      <c r="D21" s="61" t="str">
        <f aca="false">INDEX(UWD_Asset,ROWS(D$7:D21))</f>
        <v>Rise Heather Ridge</v>
      </c>
      <c r="E21" s="61" t="str">
        <f aca="false">INDEX(Tape_Market,MATCH($D21,Tape_Property,0))</f>
        <v>Dallas-Fort Worth</v>
      </c>
      <c r="F21" s="57" t="n">
        <f aca="false">INDEX(Tape_Units,MATCH($D21,Tape_Property,0))</f>
        <v>252</v>
      </c>
      <c r="G21" s="62" t="n">
        <f aca="false">INDEX(EconOcc_TTM,MATCH($D21,Tape_Property,0))</f>
        <v>0.9</v>
      </c>
      <c r="H21" s="62" t="n">
        <f aca="false">INDEX(SSP_EconOcc,MATCH($D21,UWD_Asset,0))</f>
        <v>0.9</v>
      </c>
      <c r="I21" s="49" t="n">
        <f aca="false">INDEX(Tape_GPR_UW,MATCH($D21,Tape_Property,0))</f>
        <v>3215388</v>
      </c>
      <c r="J21" s="49" t="n">
        <f aca="false">INDEX(Tape_EGI_TTM,MATCH($D21,Tape_Property,0))</f>
        <v>3456549.83</v>
      </c>
      <c r="K21" s="25" t="n">
        <f aca="false">(H21-G21)*I21</f>
        <v>0</v>
      </c>
      <c r="L21" s="25" t="n">
        <f aca="false">(J21+K21)*INDEX(SSP_EGIAdj,MATCH($D21,UWD_Asset,0))</f>
        <v>0</v>
      </c>
      <c r="M21" s="25" t="n">
        <f aca="false">J21+K21+L21</f>
        <v>3456549.83</v>
      </c>
      <c r="N21" s="25" t="n">
        <f aca="false">-INDEX(Tape_Opex_TTM,MATCH($D21,Tape_Property,0))</f>
        <v>-1888795.8166</v>
      </c>
      <c r="O21" s="25" t="n">
        <f aca="false">-INDEX(Tape_Opex_UW,MATCH($D21,Tape_Property,0))</f>
        <v>-1915230.40704779</v>
      </c>
      <c r="P21" s="25" t="n">
        <f aca="false">MIN(N21,O21)*(1+INDEX(SSP_OpexAdj,MATCH($D21,UWD_Asset,0)))</f>
        <v>-1915230.40704779</v>
      </c>
      <c r="Q21" s="25" t="n">
        <f aca="false">-MAX(0,SSP_MgmtFloor-SSP_MgmtEmbedded)*M21</f>
        <v>-34565.4983</v>
      </c>
      <c r="R21" s="25" t="n">
        <f aca="false">P21+Q21</f>
        <v>-1949795.90534779</v>
      </c>
      <c r="S21" s="53" t="n">
        <f aca="false">M21+R21</f>
        <v>1506753.92465221</v>
      </c>
      <c r="T21" s="26" t="n">
        <f aca="false">S21/M21</f>
        <v>0.435912687146829</v>
      </c>
      <c r="U21" s="25" t="n">
        <f aca="false">-SSP_ReservePU*F21</f>
        <v>-75600</v>
      </c>
      <c r="V21" s="25" t="n">
        <f aca="false">S21+U21</f>
        <v>1431153.92465221</v>
      </c>
      <c r="W21" s="49" t="n">
        <f aca="false">INDEX(Tape_NOI_UW,MATCH($D21,Tape_Property,0))</f>
        <v>1678526.16718487</v>
      </c>
      <c r="X21" s="26" t="n">
        <f aca="false">S21/W21-1</f>
        <v>-0.102335159195489</v>
      </c>
      <c r="Y21" s="49" t="n">
        <f aca="false">INDEX(Tape_NOI_TTM,MATCH($D21,Tape_Property,0))</f>
        <v>1567754.0134</v>
      </c>
      <c r="Z21" s="26" t="n">
        <f aca="false">S21/Y21-1</f>
        <v>-0.0389092218718004</v>
      </c>
    </row>
    <row r="22" customFormat="false" ht="15" hidden="false" customHeight="false" outlineLevel="0" collapsed="false">
      <c r="D22" s="65" t="str">
        <f aca="false">INDEX(UWD_Asset,ROWS(D$7:D22))</f>
        <v>Rise on Cactus</v>
      </c>
      <c r="E22" s="65" t="str">
        <f aca="false">INDEX(Tape_Market,MATCH($D22,Tape_Property,0))</f>
        <v>Phoenix</v>
      </c>
      <c r="F22" s="66" t="n">
        <f aca="false">INDEX(Tape_Units,MATCH($D22,Tape_Property,0))</f>
        <v>124</v>
      </c>
      <c r="G22" s="67" t="n">
        <f aca="false">INDEX(EconOcc_TTM,MATCH($D22,Tape_Property,0))</f>
        <v>0.896</v>
      </c>
      <c r="H22" s="67" t="n">
        <f aca="false">INDEX(SSP_EconOcc,MATCH($D22,UWD_Asset,0))</f>
        <v>0.896</v>
      </c>
      <c r="I22" s="51" t="n">
        <f aca="false">INDEX(Tape_GPR_UW,MATCH($D22,Tape_Property,0))</f>
        <v>2105400</v>
      </c>
      <c r="J22" s="51" t="n">
        <f aca="false">INDEX(Tape_EGI_TTM,MATCH($D22,Tape_Property,0))</f>
        <v>1952208.33</v>
      </c>
      <c r="K22" s="32" t="n">
        <f aca="false">(H22-G22)*I22</f>
        <v>0</v>
      </c>
      <c r="L22" s="32" t="n">
        <f aca="false">(J22+K22)*INDEX(SSP_EGIAdj,MATCH($D22,UWD_Asset,0))</f>
        <v>0</v>
      </c>
      <c r="M22" s="32" t="n">
        <f aca="false">J22+K22+L22</f>
        <v>1952208.33</v>
      </c>
      <c r="N22" s="32" t="n">
        <f aca="false">-INDEX(Tape_Opex_TTM,MATCH($D22,Tape_Property,0))</f>
        <v>-821352.4166</v>
      </c>
      <c r="O22" s="32" t="n">
        <f aca="false">-INDEX(Tape_Opex_UW,MATCH($D22,Tape_Property,0))</f>
        <v>-825108.251251497</v>
      </c>
      <c r="P22" s="32" t="n">
        <f aca="false">MIN(N22,O22)*(1+INDEX(SSP_OpexAdj,MATCH($D22,UWD_Asset,0)))</f>
        <v>-825108.251251497</v>
      </c>
      <c r="Q22" s="32" t="n">
        <f aca="false">-MAX(0,SSP_MgmtFloor-SSP_MgmtEmbedded)*M22</f>
        <v>-19522.0833</v>
      </c>
      <c r="R22" s="32" t="n">
        <f aca="false">P22+Q22</f>
        <v>-844630.334551497</v>
      </c>
      <c r="S22" s="69" t="n">
        <f aca="false">M22+R22</f>
        <v>1107577.9954485</v>
      </c>
      <c r="T22" s="34" t="n">
        <f aca="false">S22/M22</f>
        <v>0.567346209125388</v>
      </c>
      <c r="U22" s="32" t="n">
        <f aca="false">-SSP_ReservePU*F22</f>
        <v>-37200</v>
      </c>
      <c r="V22" s="32" t="n">
        <f aca="false">S22+U22</f>
        <v>1070377.9954485</v>
      </c>
      <c r="W22" s="51" t="n">
        <f aca="false">INDEX(Tape_NOI_UW,MATCH($D22,Tape_Property,0))</f>
        <v>1311274.03007333</v>
      </c>
      <c r="X22" s="34" t="n">
        <f aca="false">S22/W22-1</f>
        <v>-0.155342079499155</v>
      </c>
      <c r="Y22" s="51" t="n">
        <f aca="false">INDEX(Tape_NOI_TTM,MATCH($D22,Tape_Property,0))</f>
        <v>1130855.9134</v>
      </c>
      <c r="Z22" s="34" t="n">
        <f aca="false">S22/Y22-1</f>
        <v>-0.0205843358783966</v>
      </c>
    </row>
    <row r="23" customFormat="false" ht="15" hidden="false" customHeight="false" outlineLevel="0" collapsed="false">
      <c r="D23" s="61" t="str">
        <f aca="false">INDEX(UWD_Asset,ROWS(D$7:D23))</f>
        <v>Rise on McClintock</v>
      </c>
      <c r="E23" s="61" t="str">
        <f aca="false">INDEX(Tape_Market,MATCH($D23,Tape_Property,0))</f>
        <v>Phoenix</v>
      </c>
      <c r="F23" s="57" t="n">
        <f aca="false">INDEX(Tape_Units,MATCH($D23,Tape_Property,0))</f>
        <v>112</v>
      </c>
      <c r="G23" s="62" t="n">
        <f aca="false">INDEX(EconOcc_TTM,MATCH($D23,Tape_Property,0))</f>
        <v>0.939</v>
      </c>
      <c r="H23" s="62" t="n">
        <f aca="false">INDEX(SSP_EconOcc,MATCH($D23,UWD_Asset,0))</f>
        <v>0.939</v>
      </c>
      <c r="I23" s="49" t="n">
        <f aca="false">INDEX(Tape_GPR_UW,MATCH($D23,Tape_Property,0))</f>
        <v>1840560</v>
      </c>
      <c r="J23" s="49" t="n">
        <f aca="false">INDEX(Tape_EGI_TTM,MATCH($D23,Tape_Property,0))</f>
        <v>2023636.4</v>
      </c>
      <c r="K23" s="25" t="n">
        <f aca="false">(H23-G23)*I23</f>
        <v>0</v>
      </c>
      <c r="L23" s="25" t="n">
        <f aca="false">(J23+K23)*INDEX(SSP_EGIAdj,MATCH($D23,UWD_Asset,0))</f>
        <v>0</v>
      </c>
      <c r="M23" s="25" t="n">
        <f aca="false">J23+K23+L23</f>
        <v>2023636.4</v>
      </c>
      <c r="N23" s="25" t="n">
        <f aca="false">-INDEX(Tape_Opex_TTM,MATCH($D23,Tape_Property,0))</f>
        <v>-681898.508</v>
      </c>
      <c r="O23" s="25" t="n">
        <f aca="false">-INDEX(Tape_Opex_UW,MATCH($D23,Tape_Property,0))</f>
        <v>-681442.664030705</v>
      </c>
      <c r="P23" s="25" t="n">
        <f aca="false">MIN(N23,O23)*(1+INDEX(SSP_OpexAdj,MATCH($D23,UWD_Asset,0)))</f>
        <v>-681898.508</v>
      </c>
      <c r="Q23" s="25" t="n">
        <f aca="false">-MAX(0,SSP_MgmtFloor-SSP_MgmtEmbedded)*M23</f>
        <v>-20236.364</v>
      </c>
      <c r="R23" s="25" t="n">
        <f aca="false">P23+Q23</f>
        <v>-702134.872</v>
      </c>
      <c r="S23" s="53" t="n">
        <f aca="false">M23+R23</f>
        <v>1321501.528</v>
      </c>
      <c r="T23" s="26" t="n">
        <f aca="false">S23/M23</f>
        <v>0.653033088355201</v>
      </c>
      <c r="U23" s="25" t="n">
        <f aca="false">-SSP_ReservePU*F23</f>
        <v>-33600</v>
      </c>
      <c r="V23" s="25" t="n">
        <f aca="false">S23+U23</f>
        <v>1287901.528</v>
      </c>
      <c r="W23" s="49" t="n">
        <f aca="false">INDEX(Tape_NOI_UW,MATCH($D23,Tape_Property,0))</f>
        <v>1298846.93500456</v>
      </c>
      <c r="X23" s="26" t="n">
        <f aca="false">S23/W23-1</f>
        <v>0.0174420806523763</v>
      </c>
      <c r="Y23" s="49" t="n">
        <f aca="false">INDEX(Tape_NOI_TTM,MATCH($D23,Tape_Property,0))</f>
        <v>1341737.892</v>
      </c>
      <c r="Z23" s="26" t="n">
        <f aca="false">S23/Y23-1</f>
        <v>-0.0150822035515712</v>
      </c>
    </row>
    <row r="24" customFormat="false" ht="15" hidden="false" customHeight="false" outlineLevel="0" collapsed="false">
      <c r="D24" s="65" t="str">
        <f aca="false">INDEX(UWD_Asset,ROWS(D$7:D24))</f>
        <v>Rise at Town East</v>
      </c>
      <c r="E24" s="65" t="str">
        <f aca="false">INDEX(Tape_Market,MATCH($D24,Tape_Property,0))</f>
        <v>Dallas-Fort Worth</v>
      </c>
      <c r="F24" s="66" t="n">
        <f aca="false">INDEX(Tape_Units,MATCH($D24,Tape_Property,0))</f>
        <v>210</v>
      </c>
      <c r="G24" s="67" t="n">
        <f aca="false">INDEX(EconOcc_TTM,MATCH($D24,Tape_Property,0))</f>
        <v>0.912</v>
      </c>
      <c r="H24" s="67" t="n">
        <f aca="false">INDEX(SSP_EconOcc,MATCH($D24,UWD_Asset,0))</f>
        <v>0.912</v>
      </c>
      <c r="I24" s="51" t="n">
        <f aca="false">INDEX(Tape_GPR_UW,MATCH($D24,Tape_Property,0))</f>
        <v>2848894.56</v>
      </c>
      <c r="J24" s="51" t="n">
        <f aca="false">INDEX(Tape_EGI_TTM,MATCH($D24,Tape_Property,0))</f>
        <v>3116588.63</v>
      </c>
      <c r="K24" s="32" t="n">
        <f aca="false">(H24-G24)*I24</f>
        <v>0</v>
      </c>
      <c r="L24" s="32" t="n">
        <f aca="false">(J24+K24)*INDEX(SSP_EGIAdj,MATCH($D24,UWD_Asset,0))</f>
        <v>0</v>
      </c>
      <c r="M24" s="32" t="n">
        <f aca="false">J24+K24+L24</f>
        <v>3116588.63</v>
      </c>
      <c r="N24" s="32" t="n">
        <f aca="false">-INDEX(Tape_Opex_TTM,MATCH($D24,Tape_Property,0))</f>
        <v>-1815887.4926</v>
      </c>
      <c r="O24" s="32" t="n">
        <f aca="false">-INDEX(Tape_Opex_UW,MATCH($D24,Tape_Property,0))</f>
        <v>-1824218.17441504</v>
      </c>
      <c r="P24" s="32" t="n">
        <f aca="false">MIN(N24,O24)*(1+INDEX(SSP_OpexAdj,MATCH($D24,UWD_Asset,0)))</f>
        <v>-1824218.17441504</v>
      </c>
      <c r="Q24" s="32" t="n">
        <f aca="false">-MAX(0,SSP_MgmtFloor-SSP_MgmtEmbedded)*M24</f>
        <v>-31165.8863</v>
      </c>
      <c r="R24" s="32" t="n">
        <f aca="false">P24+Q24</f>
        <v>-1855384.06071504</v>
      </c>
      <c r="S24" s="69" t="n">
        <f aca="false">M24+R24</f>
        <v>1261204.56928496</v>
      </c>
      <c r="T24" s="34" t="n">
        <f aca="false">S24/M24</f>
        <v>0.404674700133576</v>
      </c>
      <c r="U24" s="32" t="n">
        <f aca="false">-SSP_ReservePU*F24</f>
        <v>-63000</v>
      </c>
      <c r="V24" s="32" t="n">
        <f aca="false">S24+U24</f>
        <v>1198204.56928496</v>
      </c>
      <c r="W24" s="51" t="n">
        <f aca="false">INDEX(Tape_NOI_UW,MATCH($D24,Tape_Property,0))</f>
        <v>1510662.17736428</v>
      </c>
      <c r="X24" s="34" t="n">
        <f aca="false">S24/W24-1</f>
        <v>-0.165131299252198</v>
      </c>
      <c r="Y24" s="51" t="n">
        <f aca="false">INDEX(Tape_NOI_TTM,MATCH($D24,Tape_Property,0))</f>
        <v>1300701.1374</v>
      </c>
      <c r="Z24" s="34" t="n">
        <f aca="false">S24/Y24-1</f>
        <v>-0.0303655981988202</v>
      </c>
    </row>
    <row r="25" customFormat="false" ht="15" hidden="false" customHeight="false" outlineLevel="0" collapsed="false">
      <c r="D25" s="61" t="str">
        <f aca="false">INDEX(UWD_Asset,ROWS(D$7:D25))</f>
        <v>Rise at the Meadows</v>
      </c>
      <c r="E25" s="61" t="str">
        <f aca="false">INDEX(Tape_Market,MATCH($D25,Tape_Property,0))</f>
        <v>Phoenix</v>
      </c>
      <c r="F25" s="57" t="n">
        <f aca="false">INDEX(Tape_Units,MATCH($D25,Tape_Property,0))</f>
        <v>120</v>
      </c>
      <c r="G25" s="62" t="n">
        <f aca="false">INDEX(EconOcc_TTM,MATCH($D25,Tape_Property,0))</f>
        <v>0.92</v>
      </c>
      <c r="H25" s="62" t="n">
        <f aca="false">INDEX(SSP_EconOcc,MATCH($D25,UWD_Asset,0))</f>
        <v>0.92</v>
      </c>
      <c r="I25" s="49" t="n">
        <f aca="false">INDEX(Tape_GPR_UW,MATCH($D25,Tape_Property,0))</f>
        <v>1881540</v>
      </c>
      <c r="J25" s="49" t="n">
        <f aca="false">INDEX(Tape_EGI_TTM,MATCH($D25,Tape_Property,0))</f>
        <v>1980643.77</v>
      </c>
      <c r="K25" s="25" t="n">
        <f aca="false">(H25-G25)*I25</f>
        <v>0</v>
      </c>
      <c r="L25" s="25" t="n">
        <f aca="false">(J25+K25)*INDEX(SSP_EGIAdj,MATCH($D25,UWD_Asset,0))</f>
        <v>0</v>
      </c>
      <c r="M25" s="25" t="n">
        <f aca="false">J25+K25+L25</f>
        <v>1980643.77</v>
      </c>
      <c r="N25" s="25" t="n">
        <f aca="false">-INDEX(Tape_Opex_TTM,MATCH($D25,Tape_Property,0))</f>
        <v>-820637.5354</v>
      </c>
      <c r="O25" s="25" t="n">
        <f aca="false">-INDEX(Tape_Opex_UW,MATCH($D25,Tape_Property,0))</f>
        <v>-818874.660645932</v>
      </c>
      <c r="P25" s="25" t="n">
        <f aca="false">MIN(N25,O25)*(1+INDEX(SSP_OpexAdj,MATCH($D25,UWD_Asset,0)))</f>
        <v>-820637.5354</v>
      </c>
      <c r="Q25" s="25" t="n">
        <f aca="false">-MAX(0,SSP_MgmtFloor-SSP_MgmtEmbedded)*M25</f>
        <v>-19806.4377</v>
      </c>
      <c r="R25" s="25" t="n">
        <f aca="false">P25+Q25</f>
        <v>-840443.9731</v>
      </c>
      <c r="S25" s="53" t="n">
        <f aca="false">M25+R25</f>
        <v>1140199.7969</v>
      </c>
      <c r="T25" s="26" t="n">
        <f aca="false">S25/M25</f>
        <v>0.575671311605923</v>
      </c>
      <c r="U25" s="25" t="n">
        <f aca="false">-SSP_ReservePU*F25</f>
        <v>-36000</v>
      </c>
      <c r="V25" s="25" t="n">
        <f aca="false">S25+U25</f>
        <v>1104199.7969</v>
      </c>
      <c r="W25" s="49" t="n">
        <f aca="false">INDEX(Tape_NOI_UW,MATCH($D25,Tape_Property,0))</f>
        <v>1196792.92540067</v>
      </c>
      <c r="X25" s="26" t="n">
        <f aca="false">S25/W25-1</f>
        <v>-0.0472873187161664</v>
      </c>
      <c r="Y25" s="49" t="n">
        <f aca="false">INDEX(Tape_NOI_TTM,MATCH($D25,Tape_Property,0))</f>
        <v>1160006.2346</v>
      </c>
      <c r="Z25" s="26" t="n">
        <f aca="false">S25/Y25-1</f>
        <v>-0.0170744234894823</v>
      </c>
    </row>
    <row r="26" customFormat="false" ht="15" hidden="false" customHeight="false" outlineLevel="0" collapsed="false">
      <c r="D26" s="65" t="str">
        <f aca="false">INDEX(UWD_Asset,ROWS(D$7:D26))</f>
        <v>Rise Oak Creek</v>
      </c>
      <c r="E26" s="65" t="str">
        <f aca="false">INDEX(Tape_Market,MATCH($D26,Tape_Property,0))</f>
        <v>Dallas-Fort Worth</v>
      </c>
      <c r="F26" s="66" t="n">
        <f aca="false">INDEX(Tape_Units,MATCH($D26,Tape_Property,0))</f>
        <v>176</v>
      </c>
      <c r="G26" s="67" t="n">
        <f aca="false">INDEX(EconOcc_TTM,MATCH($D26,Tape_Property,0))</f>
        <v>0.895</v>
      </c>
      <c r="H26" s="67" t="n">
        <f aca="false">INDEX(SSP_EconOcc,MATCH($D26,UWD_Asset,0))</f>
        <v>0.895</v>
      </c>
      <c r="I26" s="51" t="n">
        <f aca="false">INDEX(Tape_GPR_UW,MATCH($D26,Tape_Property,0))</f>
        <v>2519807.88</v>
      </c>
      <c r="J26" s="51" t="n">
        <f aca="false">INDEX(Tape_EGI_TTM,MATCH($D26,Tape_Property,0))</f>
        <v>2763814.2</v>
      </c>
      <c r="K26" s="32" t="n">
        <f aca="false">(H26-G26)*I26</f>
        <v>0</v>
      </c>
      <c r="L26" s="32" t="n">
        <f aca="false">(J26+K26)*INDEX(SSP_EGIAdj,MATCH($D26,UWD_Asset,0))</f>
        <v>0</v>
      </c>
      <c r="M26" s="32" t="n">
        <f aca="false">J26+K26+L26</f>
        <v>2763814.2</v>
      </c>
      <c r="N26" s="32" t="n">
        <f aca="false">-INDEX(Tape_Opex_TTM,MATCH($D26,Tape_Property,0))</f>
        <v>-1528976.334</v>
      </c>
      <c r="O26" s="32" t="n">
        <f aca="false">-INDEX(Tape_Opex_UW,MATCH($D26,Tape_Property,0))</f>
        <v>-1497181.90033719</v>
      </c>
      <c r="P26" s="32" t="n">
        <f aca="false">MIN(N26,O26)*(1+INDEX(SSP_OpexAdj,MATCH($D26,UWD_Asset,0)))</f>
        <v>-1528976.334</v>
      </c>
      <c r="Q26" s="32" t="n">
        <f aca="false">-MAX(0,SSP_MgmtFloor-SSP_MgmtEmbedded)*M26</f>
        <v>-27638.142</v>
      </c>
      <c r="R26" s="32" t="n">
        <f aca="false">P26+Q26</f>
        <v>-1556614.476</v>
      </c>
      <c r="S26" s="69" t="n">
        <f aca="false">M26+R26</f>
        <v>1207199.724</v>
      </c>
      <c r="T26" s="34" t="n">
        <f aca="false">S26/M26</f>
        <v>0.436787582899024</v>
      </c>
      <c r="U26" s="32" t="n">
        <f aca="false">-SSP_ReservePU*F26</f>
        <v>-52800</v>
      </c>
      <c r="V26" s="32" t="n">
        <f aca="false">S26+U26</f>
        <v>1154399.724</v>
      </c>
      <c r="W26" s="51" t="n">
        <f aca="false">INDEX(Tape_NOI_UW,MATCH($D26,Tape_Property,0))</f>
        <v>1488001.12610492</v>
      </c>
      <c r="X26" s="34" t="n">
        <f aca="false">S26/W26-1</f>
        <v>-0.188710476879789</v>
      </c>
      <c r="Y26" s="51" t="n">
        <f aca="false">INDEX(Tape_NOI_TTM,MATCH($D26,Tape_Property,0))</f>
        <v>1234837.866</v>
      </c>
      <c r="Z26" s="34" t="n">
        <f aca="false">S26/Y26-1</f>
        <v>-0.0223820007152259</v>
      </c>
    </row>
    <row r="27" customFormat="false" ht="15" hidden="false" customHeight="false" outlineLevel="0" collapsed="false">
      <c r="D27" s="61" t="str">
        <f aca="false">INDEX(UWD_Asset,ROWS(D$7:D27))</f>
        <v>Rise North Arlington</v>
      </c>
      <c r="E27" s="61" t="str">
        <f aca="false">INDEX(Tape_Market,MATCH($D27,Tape_Property,0))</f>
        <v>Dallas-Fort Worth</v>
      </c>
      <c r="F27" s="57" t="n">
        <f aca="false">INDEX(Tape_Units,MATCH($D27,Tape_Property,0))</f>
        <v>262</v>
      </c>
      <c r="G27" s="62" t="n">
        <f aca="false">INDEX(EconOcc_TTM,MATCH($D27,Tape_Property,0))</f>
        <v>0.857</v>
      </c>
      <c r="H27" s="62" t="n">
        <f aca="false">INDEX(SSP_EconOcc,MATCH($D27,UWD_Asset,0))</f>
        <v>0.857</v>
      </c>
      <c r="I27" s="49" t="n">
        <f aca="false">INDEX(Tape_GPR_UW,MATCH($D27,Tape_Property,0))</f>
        <v>3371136</v>
      </c>
      <c r="J27" s="49" t="n">
        <f aca="false">INDEX(Tape_EGI_TTM,MATCH($D27,Tape_Property,0))</f>
        <v>3819580.99</v>
      </c>
      <c r="K27" s="25" t="n">
        <f aca="false">(H27-G27)*I27</f>
        <v>0</v>
      </c>
      <c r="L27" s="25" t="n">
        <f aca="false">(J27+K27)*INDEX(SSP_EGIAdj,MATCH($D27,UWD_Asset,0))</f>
        <v>0</v>
      </c>
      <c r="M27" s="25" t="n">
        <f aca="false">J27+K27+L27</f>
        <v>3819580.99</v>
      </c>
      <c r="N27" s="25" t="n">
        <f aca="false">-INDEX(Tape_Opex_TTM,MATCH($D27,Tape_Property,0))</f>
        <v>-2435152.1598</v>
      </c>
      <c r="O27" s="25" t="n">
        <f aca="false">-INDEX(Tape_Opex_UW,MATCH($D27,Tape_Property,0))</f>
        <v>-2454314.08010638</v>
      </c>
      <c r="P27" s="25" t="n">
        <f aca="false">MIN(N27,O27)*(1+INDEX(SSP_OpexAdj,MATCH($D27,UWD_Asset,0)))</f>
        <v>-2454314.08010638</v>
      </c>
      <c r="Q27" s="25" t="n">
        <f aca="false">-MAX(0,SSP_MgmtFloor-SSP_MgmtEmbedded)*M27</f>
        <v>-38195.8099</v>
      </c>
      <c r="R27" s="25" t="n">
        <f aca="false">P27+Q27</f>
        <v>-2492509.89000638</v>
      </c>
      <c r="S27" s="53" t="n">
        <f aca="false">M27+R27</f>
        <v>1327071.09999362</v>
      </c>
      <c r="T27" s="26" t="n">
        <f aca="false">S27/M27</f>
        <v>0.347438921564436</v>
      </c>
      <c r="U27" s="25" t="n">
        <f aca="false">-SSP_ReservePU*F27</f>
        <v>-78600</v>
      </c>
      <c r="V27" s="25" t="n">
        <f aca="false">S27+U27</f>
        <v>1248471.09999362</v>
      </c>
      <c r="W27" s="49" t="n">
        <f aca="false">INDEX(Tape_NOI_UW,MATCH($D27,Tape_Property,0))</f>
        <v>1506728.22967855</v>
      </c>
      <c r="X27" s="26" t="n">
        <f aca="false">S27/W27-1</f>
        <v>-0.119236585700166</v>
      </c>
      <c r="Y27" s="49" t="n">
        <f aca="false">INDEX(Tape_NOI_TTM,MATCH($D27,Tape_Property,0))</f>
        <v>1384428.8302</v>
      </c>
      <c r="Z27" s="26" t="n">
        <f aca="false">S27/Y27-1</f>
        <v>-0.0414306094724227</v>
      </c>
    </row>
    <row r="28" customFormat="false" ht="15" hidden="false" customHeight="false" outlineLevel="0" collapsed="false">
      <c r="D28" s="65" t="str">
        <f aca="false">INDEX(UWD_Asset,ROWS(D$7:D28))</f>
        <v>Rise Gateway</v>
      </c>
      <c r="E28" s="65" t="str">
        <f aca="false">INDEX(Tape_Market,MATCH($D28,Tape_Property,0))</f>
        <v>Dallas-Fort Worth</v>
      </c>
      <c r="F28" s="66" t="n">
        <f aca="false">INDEX(Tape_Units,MATCH($D28,Tape_Property,0))</f>
        <v>142</v>
      </c>
      <c r="G28" s="67" t="n">
        <f aca="false">INDEX(EconOcc_TTM,MATCH($D28,Tape_Property,0))</f>
        <v>0.947</v>
      </c>
      <c r="H28" s="67" t="n">
        <f aca="false">INDEX(SSP_EconOcc,MATCH($D28,UWD_Asset,0))</f>
        <v>0.947</v>
      </c>
      <c r="I28" s="51" t="n">
        <f aca="false">INDEX(Tape_GPR_UW,MATCH($D28,Tape_Property,0))</f>
        <v>2110404</v>
      </c>
      <c r="J28" s="51" t="n">
        <f aca="false">INDEX(Tape_EGI_TTM,MATCH($D28,Tape_Property,0))</f>
        <v>2371729.59</v>
      </c>
      <c r="K28" s="32" t="n">
        <f aca="false">(H28-G28)*I28</f>
        <v>0</v>
      </c>
      <c r="L28" s="32" t="n">
        <f aca="false">(J28+K28)*INDEX(SSP_EGIAdj,MATCH($D28,UWD_Asset,0))</f>
        <v>0</v>
      </c>
      <c r="M28" s="32" t="n">
        <f aca="false">J28+K28+L28</f>
        <v>2371729.59</v>
      </c>
      <c r="N28" s="32" t="n">
        <f aca="false">-INDEX(Tape_Opex_TTM,MATCH($D28,Tape_Property,0))</f>
        <v>-1385624.0318</v>
      </c>
      <c r="O28" s="32" t="n">
        <f aca="false">-INDEX(Tape_Opex_UW,MATCH($D28,Tape_Property,0))</f>
        <v>-1275060.64779315</v>
      </c>
      <c r="P28" s="32" t="n">
        <f aca="false">MIN(N28,O28)*(1+INDEX(SSP_OpexAdj,MATCH($D28,UWD_Asset,0)))</f>
        <v>-1385624.0318</v>
      </c>
      <c r="Q28" s="32" t="n">
        <f aca="false">-MAX(0,SSP_MgmtFloor-SSP_MgmtEmbedded)*M28</f>
        <v>-23717.2959</v>
      </c>
      <c r="R28" s="32" t="n">
        <f aca="false">P28+Q28</f>
        <v>-1409341.3277</v>
      </c>
      <c r="S28" s="69" t="n">
        <f aca="false">M28+R28</f>
        <v>962388.2623</v>
      </c>
      <c r="T28" s="34" t="n">
        <f aca="false">S28/M28</f>
        <v>0.405774868415754</v>
      </c>
      <c r="U28" s="32" t="n">
        <f aca="false">-SSP_ReservePU*F28</f>
        <v>-42600</v>
      </c>
      <c r="V28" s="32" t="n">
        <f aca="false">S28+U28</f>
        <v>919788.2623</v>
      </c>
      <c r="W28" s="51" t="n">
        <f aca="false">INDEX(Tape_NOI_UW,MATCH($D28,Tape_Property,0))</f>
        <v>1057966.37362947</v>
      </c>
      <c r="X28" s="34" t="n">
        <f aca="false">S28/W28-1</f>
        <v>-0.0903413508329012</v>
      </c>
      <c r="Y28" s="51" t="n">
        <f aca="false">INDEX(Tape_NOI_TTM,MATCH($D28,Tape_Property,0))</f>
        <v>986105.5582</v>
      </c>
      <c r="Z28" s="34" t="n">
        <f aca="false">S28/Y28-1</f>
        <v>-0.0240514777579113</v>
      </c>
    </row>
    <row r="29" customFormat="false" ht="15" hidden="false" customHeight="false" outlineLevel="0" collapsed="false">
      <c r="D29" s="61" t="str">
        <f aca="false">INDEX(UWD_Asset,ROWS(D$7:D29))</f>
        <v>Rise Matthews Pointe</v>
      </c>
      <c r="E29" s="61" t="str">
        <f aca="false">INDEX(Tape_Market,MATCH($D29,Tape_Property,0))</f>
        <v>Charlotte</v>
      </c>
      <c r="F29" s="57" t="n">
        <f aca="false">INDEX(Tape_Units,MATCH($D29,Tape_Property,0))</f>
        <v>100</v>
      </c>
      <c r="G29" s="62" t="n">
        <f aca="false">INDEX(EconOcc_TTM,MATCH($D29,Tape_Property,0))</f>
        <v>0.927</v>
      </c>
      <c r="H29" s="62" t="n">
        <f aca="false">INDEX(SSP_EconOcc,MATCH($D29,UWD_Asset,0))</f>
        <v>0.927</v>
      </c>
      <c r="I29" s="49" t="n">
        <f aca="false">INDEX(Tape_GPR_UW,MATCH($D29,Tape_Property,0))</f>
        <v>1475508</v>
      </c>
      <c r="J29" s="49" t="n">
        <f aca="false">INDEX(Tape_EGI_TTM,MATCH($D29,Tape_Property,0))</f>
        <v>1482963.36</v>
      </c>
      <c r="K29" s="25" t="n">
        <f aca="false">(H29-G29)*I29</f>
        <v>0</v>
      </c>
      <c r="L29" s="25" t="n">
        <f aca="false">(J29+K29)*INDEX(SSP_EGIAdj,MATCH($D29,UWD_Asset,0))</f>
        <v>0</v>
      </c>
      <c r="M29" s="25" t="n">
        <f aca="false">J29+K29+L29</f>
        <v>1482963.36</v>
      </c>
      <c r="N29" s="25" t="n">
        <f aca="false">-INDEX(Tape_Opex_TTM,MATCH($D29,Tape_Property,0))</f>
        <v>-695556.7372</v>
      </c>
      <c r="O29" s="25" t="n">
        <f aca="false">-INDEX(Tape_Opex_UW,MATCH($D29,Tape_Property,0))</f>
        <v>-704349.137396166</v>
      </c>
      <c r="P29" s="25" t="n">
        <f aca="false">MIN(N29,O29)*(1+INDEX(SSP_OpexAdj,MATCH($D29,UWD_Asset,0)))</f>
        <v>-704349.137396166</v>
      </c>
      <c r="Q29" s="25" t="n">
        <f aca="false">-MAX(0,SSP_MgmtFloor-SSP_MgmtEmbedded)*M29</f>
        <v>-14829.6336</v>
      </c>
      <c r="R29" s="25" t="n">
        <f aca="false">P29+Q29</f>
        <v>-719178.770996166</v>
      </c>
      <c r="S29" s="53" t="n">
        <f aca="false">M29+R29</f>
        <v>763784.589003834</v>
      </c>
      <c r="T29" s="26" t="n">
        <f aca="false">S29/M29</f>
        <v>0.515039420126897</v>
      </c>
      <c r="U29" s="25" t="n">
        <f aca="false">-SSP_ReservePU*F29</f>
        <v>-30000</v>
      </c>
      <c r="V29" s="25" t="n">
        <f aca="false">S29+U29</f>
        <v>733784.589003834</v>
      </c>
      <c r="W29" s="49" t="n">
        <f aca="false">INDEX(Tape_NOI_UW,MATCH($D29,Tape_Property,0))</f>
        <v>877910.535012133</v>
      </c>
      <c r="X29" s="26" t="n">
        <f aca="false">S29/W29-1</f>
        <v>-0.129997239418845</v>
      </c>
      <c r="Y29" s="49" t="n">
        <f aca="false">INDEX(Tape_NOI_TTM,MATCH($D29,Tape_Property,0))</f>
        <v>787406.6228</v>
      </c>
      <c r="Z29" s="26" t="n">
        <f aca="false">S29/Y29-1</f>
        <v>-0.0299997905937931</v>
      </c>
    </row>
    <row r="30" customFormat="false" ht="15" hidden="false" customHeight="false" outlineLevel="0" collapsed="false">
      <c r="D30" s="41" t="s">
        <v>185</v>
      </c>
      <c r="E30" s="42"/>
      <c r="F30" s="47" t="n">
        <f aca="false">SUM(F7:F29)</f>
        <v>4848</v>
      </c>
      <c r="G30" s="44" t="n">
        <f aca="false">SUMPRODUCT(G7:G29,$F7:$F29)/$F30</f>
        <v>0.900368605610561</v>
      </c>
      <c r="H30" s="44" t="n">
        <f aca="false">SUMPRODUCT(H7:H29,$F7:$F29)/$F30</f>
        <v>0.900368605610561</v>
      </c>
      <c r="I30" s="43" t="n">
        <f aca="false">SUM(I7:I29)</f>
        <v>71385603.6</v>
      </c>
      <c r="J30" s="43" t="n">
        <f aca="false">SUM(J7:J29)</f>
        <v>74959984.3</v>
      </c>
      <c r="K30" s="43" t="n">
        <f aca="false">SUM(K7:K29)</f>
        <v>0</v>
      </c>
      <c r="L30" s="43" t="n">
        <f aca="false">SUM(L7:L29)</f>
        <v>0</v>
      </c>
      <c r="M30" s="43" t="n">
        <f aca="false">SUM(M7:M29)</f>
        <v>74959984.3</v>
      </c>
      <c r="N30" s="43" t="n">
        <f aca="false">SUM(N7:N29)</f>
        <v>-37402600.836</v>
      </c>
      <c r="O30" s="43" t="n">
        <f aca="false">SUM(O7:O29)</f>
        <v>-37177884.9536428</v>
      </c>
      <c r="P30" s="43" t="n">
        <f aca="false">SUM(P7:P29)</f>
        <v>-37690933.9794063</v>
      </c>
      <c r="Q30" s="43" t="n">
        <f aca="false">SUM(Q7:Q29)</f>
        <v>-749599.843</v>
      </c>
      <c r="R30" s="43" t="n">
        <f aca="false">SUM(R7:R29)</f>
        <v>-38440533.8224063</v>
      </c>
      <c r="S30" s="43" t="n">
        <f aca="false">SUM(S7:S29)</f>
        <v>36519450.4775937</v>
      </c>
      <c r="T30" s="44" t="n">
        <f aca="false">S30/M30</f>
        <v>0.487185940853962</v>
      </c>
      <c r="U30" s="43" t="n">
        <f aca="false">SUM(U7:U29)</f>
        <v>-1454400</v>
      </c>
      <c r="V30" s="43" t="n">
        <f aca="false">SUM(V7:V29)</f>
        <v>35065050.4775937</v>
      </c>
      <c r="W30" s="43" t="n">
        <f aca="false">SUM(W7:W29)</f>
        <v>41209415.209242</v>
      </c>
      <c r="X30" s="44" t="n">
        <f aca="false">S30/W30-1</f>
        <v>-0.113808087492504</v>
      </c>
      <c r="Y30" s="43" t="n">
        <f aca="false">SUM(Y7:Y29)</f>
        <v>37557383.464</v>
      </c>
      <c r="Z30" s="44" t="n">
        <f aca="false">S30/Y30-1</f>
        <v>-0.0276359237698549</v>
      </c>
    </row>
    <row r="35" customFormat="false" ht="15" hidden="false" customHeight="false" outlineLevel="0" collapsed="false">
      <c r="D35" s="52" t="s">
        <v>205</v>
      </c>
    </row>
    <row r="36" customFormat="false" ht="43.5" hidden="false" customHeight="true" outlineLevel="0" collapsed="false">
      <c r="D36" s="22" t="s">
        <v>164</v>
      </c>
      <c r="E36" s="22" t="s">
        <v>165</v>
      </c>
      <c r="F36" s="22" t="s">
        <v>41</v>
      </c>
      <c r="G36" s="22" t="s">
        <v>198</v>
      </c>
      <c r="H36" s="22" t="s">
        <v>177</v>
      </c>
      <c r="I36" s="22" t="s">
        <v>55</v>
      </c>
      <c r="J36" s="22" t="s">
        <v>206</v>
      </c>
      <c r="K36" s="22" t="s">
        <v>207</v>
      </c>
      <c r="L36" s="22" t="s">
        <v>208</v>
      </c>
      <c r="M36" s="22" t="s">
        <v>209</v>
      </c>
      <c r="N36" s="22" t="s">
        <v>210</v>
      </c>
      <c r="O36" s="22" t="s">
        <v>211</v>
      </c>
      <c r="P36" s="22" t="s">
        <v>212</v>
      </c>
      <c r="Q36" s="22" t="s">
        <v>213</v>
      </c>
      <c r="R36" s="22" t="s">
        <v>214</v>
      </c>
      <c r="S36" s="22" t="s">
        <v>215</v>
      </c>
      <c r="T36" s="22" t="s">
        <v>216</v>
      </c>
      <c r="U36" s="22" t="s">
        <v>217</v>
      </c>
    </row>
    <row r="37" customFormat="false" ht="15" hidden="false" customHeight="false" outlineLevel="0" collapsed="false">
      <c r="D37" s="23" t="str">
        <f aca="false">D7</f>
        <v>Rise Broadway</v>
      </c>
      <c r="E37" s="23" t="str">
        <f aca="false">E7</f>
        <v>Phoenix</v>
      </c>
      <c r="F37" s="27" t="n">
        <f aca="false">F7</f>
        <v>288</v>
      </c>
      <c r="G37" s="25" t="n">
        <f aca="false">S7</f>
        <v>3141492.75195115</v>
      </c>
      <c r="H37" s="63" t="n">
        <f aca="false">INDEX(SSP_CapRate,MATCH($D37,UWD_Asset,0))</f>
        <v>0.055</v>
      </c>
      <c r="I37" s="53" t="n">
        <f aca="false">ROUND(G37/H37,-4)</f>
        <v>57120000</v>
      </c>
      <c r="J37" s="25" t="n">
        <f aca="false">I37/F37</f>
        <v>198333.333333333</v>
      </c>
      <c r="K37" s="26" t="n">
        <f aca="false">I37/$I$60</f>
        <v>0.090432690024223</v>
      </c>
      <c r="L37" s="49" t="n">
        <f aca="false">INDEX(Tape_ApprValue,MATCH($D37,Tape_Property,0))</f>
        <v>60200000</v>
      </c>
      <c r="M37" s="26" t="n">
        <f aca="false">I37/L37-1</f>
        <v>-0.0511627906976744</v>
      </c>
      <c r="N37" s="14" t="n">
        <f aca="false">W7/L37</f>
        <v>0.0516466673412616</v>
      </c>
      <c r="O37" s="49" t="n">
        <f aca="false">INDEX(Tape_MtgBal,MATCH($D37,Tape_Property,0))</f>
        <v>45000000</v>
      </c>
      <c r="P37" s="49" t="n">
        <f aca="false">INDEX(Tape_ALA,MATCH($D37,Tape_Property,0))</f>
        <v>49100000</v>
      </c>
      <c r="Q37" s="26" t="n">
        <f aca="false">O37/I37</f>
        <v>0.78781512605042</v>
      </c>
      <c r="R37" s="26" t="n">
        <f aca="false">P37/I37</f>
        <v>0.859593837535014</v>
      </c>
      <c r="S37" s="14" t="n">
        <f aca="false">G37/O37</f>
        <v>0.0698109500433588</v>
      </c>
      <c r="T37" s="14" t="n">
        <f aca="false">G37/P37</f>
        <v>0.0639815224429969</v>
      </c>
      <c r="U37" s="14" t="n">
        <f aca="false">W7/P37</f>
        <v>0.0633223905080234</v>
      </c>
    </row>
    <row r="38" customFormat="false" ht="15" hidden="false" customHeight="false" outlineLevel="0" collapsed="false">
      <c r="D38" s="30" t="str">
        <f aca="false">D8</f>
        <v>Rise Bedford Lake</v>
      </c>
      <c r="E38" s="30" t="str">
        <f aca="false">E8</f>
        <v>Dallas-Fort Worth</v>
      </c>
      <c r="F38" s="36" t="n">
        <f aca="false">F8</f>
        <v>360</v>
      </c>
      <c r="G38" s="32" t="n">
        <f aca="false">S8</f>
        <v>2523589.3394</v>
      </c>
      <c r="H38" s="68" t="n">
        <f aca="false">INDEX(SSP_CapRate,MATCH($D38,UWD_Asset,0))</f>
        <v>0.0625</v>
      </c>
      <c r="I38" s="69" t="n">
        <f aca="false">ROUND(G38/H38,-4)</f>
        <v>40380000</v>
      </c>
      <c r="J38" s="32" t="n">
        <f aca="false">I38/F38</f>
        <v>112166.666666667</v>
      </c>
      <c r="K38" s="34" t="n">
        <f aca="false">I38/$I$60</f>
        <v>0.0639298323385526</v>
      </c>
      <c r="L38" s="51" t="n">
        <f aca="false">INDEX(Tape_ApprValue,MATCH($D38,Tape_Property,0))</f>
        <v>44500000</v>
      </c>
      <c r="M38" s="34" t="n">
        <f aca="false">I38/L38-1</f>
        <v>-0.0925842696629213</v>
      </c>
      <c r="N38" s="35" t="n">
        <f aca="false">W8/L38</f>
        <v>0.0642751758057186</v>
      </c>
      <c r="O38" s="51" t="n">
        <f aca="false">INDEX(Tape_MtgBal,MATCH($D38,Tape_Property,0))</f>
        <v>35650000</v>
      </c>
      <c r="P38" s="51" t="n">
        <f aca="false">INDEX(Tape_ALA,MATCH($D38,Tape_Property,0))</f>
        <v>38900000</v>
      </c>
      <c r="Q38" s="34" t="n">
        <f aca="false">O38/I38</f>
        <v>0.882862803368004</v>
      </c>
      <c r="R38" s="34" t="n">
        <f aca="false">P38/I38</f>
        <v>0.963348192174344</v>
      </c>
      <c r="S38" s="35" t="n">
        <f aca="false">G38/O38</f>
        <v>0.0707879197587658</v>
      </c>
      <c r="T38" s="35" t="n">
        <f aca="false">G38/P38</f>
        <v>0.0648737619383033</v>
      </c>
      <c r="U38" s="35" t="n">
        <f aca="false">W8/P38</f>
        <v>0.0735281574127115</v>
      </c>
    </row>
    <row r="39" customFormat="false" ht="15" hidden="false" customHeight="false" outlineLevel="0" collapsed="false">
      <c r="D39" s="23" t="str">
        <f aca="false">D9</f>
        <v>Rise Creekside</v>
      </c>
      <c r="E39" s="23" t="str">
        <f aca="false">E9</f>
        <v>Dallas-Fort Worth</v>
      </c>
      <c r="F39" s="27" t="n">
        <f aca="false">F9</f>
        <v>228</v>
      </c>
      <c r="G39" s="25" t="n">
        <f aca="false">S9</f>
        <v>1808251.6908</v>
      </c>
      <c r="H39" s="63" t="n">
        <f aca="false">INDEX(SSP_CapRate,MATCH($D39,UWD_Asset,0))</f>
        <v>0.055</v>
      </c>
      <c r="I39" s="53" t="n">
        <f aca="false">ROUND(G39/H39,-4)</f>
        <v>32880000</v>
      </c>
      <c r="J39" s="25" t="n">
        <f aca="false">I39/F39</f>
        <v>144210.526315789</v>
      </c>
      <c r="K39" s="26" t="n">
        <f aca="false">I39/$I$60</f>
        <v>0.0520557921568007</v>
      </c>
      <c r="L39" s="49" t="n">
        <f aca="false">INDEX(Tape_ApprValue,MATCH($D39,Tape_Property,0))</f>
        <v>39700000</v>
      </c>
      <c r="M39" s="26" t="n">
        <f aca="false">I39/L39-1</f>
        <v>-0.171788413098237</v>
      </c>
      <c r="N39" s="14" t="n">
        <f aca="false">W9/L39</f>
        <v>0.0592476606474675</v>
      </c>
      <c r="O39" s="49" t="n">
        <f aca="false">INDEX(Tape_MtgBal,MATCH($D39,Tape_Property,0))</f>
        <v>31250000</v>
      </c>
      <c r="P39" s="49" t="n">
        <f aca="false">INDEX(Tape_ALA,MATCH($D39,Tape_Property,0))</f>
        <v>34100000</v>
      </c>
      <c r="Q39" s="26" t="n">
        <f aca="false">O39/I39</f>
        <v>0.950425790754258</v>
      </c>
      <c r="R39" s="26" t="n">
        <f aca="false">P39/I39</f>
        <v>1.03710462287105</v>
      </c>
      <c r="S39" s="14" t="n">
        <f aca="false">G39/O39</f>
        <v>0.0578640541056</v>
      </c>
      <c r="T39" s="14" t="n">
        <f aca="false">G39/P39</f>
        <v>0.0530279088211144</v>
      </c>
      <c r="U39" s="14" t="n">
        <f aca="false">W9/P39</f>
        <v>0.0689774817508639</v>
      </c>
    </row>
    <row r="40" customFormat="false" ht="15" hidden="false" customHeight="false" outlineLevel="0" collapsed="false">
      <c r="D40" s="30" t="str">
        <f aca="false">D10</f>
        <v>Rise Bridgeview</v>
      </c>
      <c r="E40" s="30" t="str">
        <f aca="false">E10</f>
        <v>Greensboro</v>
      </c>
      <c r="F40" s="36" t="n">
        <f aca="false">F10</f>
        <v>240</v>
      </c>
      <c r="G40" s="32" t="n">
        <f aca="false">S10</f>
        <v>1967158.25120565</v>
      </c>
      <c r="H40" s="68" t="n">
        <f aca="false">INDEX(SSP_CapRate,MATCH($D40,UWD_Asset,0))</f>
        <v>0.055</v>
      </c>
      <c r="I40" s="69" t="n">
        <f aca="false">ROUND(G40/H40,-4)</f>
        <v>35770000</v>
      </c>
      <c r="J40" s="32" t="n">
        <f aca="false">I40/F40</f>
        <v>149041.666666667</v>
      </c>
      <c r="K40" s="34" t="n">
        <f aca="false">I40/$I$60</f>
        <v>0.0566312556401691</v>
      </c>
      <c r="L40" s="51" t="n">
        <f aca="false">INDEX(Tape_ApprValue,MATCH($D40,Tape_Property,0))</f>
        <v>41400000</v>
      </c>
      <c r="M40" s="34" t="n">
        <f aca="false">I40/L40-1</f>
        <v>-0.135990338164251</v>
      </c>
      <c r="N40" s="35" t="n">
        <f aca="false">W10/L40</f>
        <v>0.0500541586104618</v>
      </c>
      <c r="O40" s="51" t="n">
        <f aca="false">INDEX(Tape_MtgBal,MATCH($D40,Tape_Property,0))</f>
        <v>30520000</v>
      </c>
      <c r="P40" s="51" t="n">
        <f aca="false">INDEX(Tape_ALA,MATCH($D40,Tape_Property,0))</f>
        <v>33300000</v>
      </c>
      <c r="Q40" s="34" t="n">
        <f aca="false">O40/I40</f>
        <v>0.853228962818004</v>
      </c>
      <c r="R40" s="34" t="n">
        <f aca="false">P40/I40</f>
        <v>0.930947721554375</v>
      </c>
      <c r="S40" s="35" t="n">
        <f aca="false">G40/O40</f>
        <v>0.0644547264484158</v>
      </c>
      <c r="T40" s="35" t="n">
        <f aca="false">G40/P40</f>
        <v>0.0590738213575271</v>
      </c>
      <c r="U40" s="35" t="n">
        <f aca="false">W10/P40</f>
        <v>0.0622294944886822</v>
      </c>
    </row>
    <row r="41" customFormat="false" ht="15" hidden="false" customHeight="false" outlineLevel="0" collapsed="false">
      <c r="D41" s="23" t="str">
        <f aca="false">D11</f>
        <v>Rise Suncrest</v>
      </c>
      <c r="E41" s="23" t="str">
        <f aca="false">E11</f>
        <v>Phoenix</v>
      </c>
      <c r="F41" s="27" t="n">
        <f aca="false">F11</f>
        <v>160</v>
      </c>
      <c r="G41" s="25" t="n">
        <f aca="false">S11</f>
        <v>1931074.62334005</v>
      </c>
      <c r="H41" s="63" t="n">
        <f aca="false">INDEX(SSP_CapRate,MATCH($D41,UWD_Asset,0))</f>
        <v>0.055</v>
      </c>
      <c r="I41" s="53" t="n">
        <f aca="false">ROUND(G41/H41,-4)</f>
        <v>35110000</v>
      </c>
      <c r="J41" s="25" t="n">
        <f aca="false">I41/F41</f>
        <v>219437.5</v>
      </c>
      <c r="K41" s="26" t="n">
        <f aca="false">I41/$I$60</f>
        <v>0.0555863401041749</v>
      </c>
      <c r="L41" s="49" t="n">
        <f aca="false">INDEX(Tape_ApprValue,MATCH($D41,Tape_Property,0))</f>
        <v>37600000</v>
      </c>
      <c r="M41" s="26" t="n">
        <f aca="false">I41/L41-1</f>
        <v>-0.0662234042553191</v>
      </c>
      <c r="N41" s="14" t="n">
        <f aca="false">W11/L41</f>
        <v>0.0556628101020612</v>
      </c>
      <c r="O41" s="49" t="n">
        <f aca="false">INDEX(Tape_MtgBal,MATCH($D41,Tape_Property,0))</f>
        <v>29880000</v>
      </c>
      <c r="P41" s="49" t="n">
        <f aca="false">INDEX(Tape_ALA,MATCH($D41,Tape_Property,0))</f>
        <v>32600000</v>
      </c>
      <c r="Q41" s="26" t="n">
        <f aca="false">O41/I41</f>
        <v>0.851039589860439</v>
      </c>
      <c r="R41" s="26" t="n">
        <f aca="false">P41/I41</f>
        <v>0.928510395898604</v>
      </c>
      <c r="S41" s="14" t="n">
        <f aca="false">G41/O41</f>
        <v>0.0646276647704167</v>
      </c>
      <c r="T41" s="14" t="n">
        <f aca="false">G41/P41</f>
        <v>0.0592354178938666</v>
      </c>
      <c r="U41" s="14" t="n">
        <f aca="false">W11/P41</f>
        <v>0.0642000509152608</v>
      </c>
    </row>
    <row r="42" customFormat="false" ht="15" hidden="false" customHeight="false" outlineLevel="0" collapsed="false">
      <c r="D42" s="30" t="str">
        <f aca="false">D12</f>
        <v>Rise Desert Cove</v>
      </c>
      <c r="E42" s="30" t="str">
        <f aca="false">E12</f>
        <v>Phoenix</v>
      </c>
      <c r="F42" s="36" t="n">
        <f aca="false">F12</f>
        <v>186</v>
      </c>
      <c r="G42" s="32" t="n">
        <f aca="false">S12</f>
        <v>2074811.7587813</v>
      </c>
      <c r="H42" s="68" t="n">
        <f aca="false">INDEX(SSP_CapRate,MATCH($D42,UWD_Asset,0))</f>
        <v>0.055</v>
      </c>
      <c r="I42" s="69" t="n">
        <f aca="false">ROUND(G42/H42,-4)</f>
        <v>37720000</v>
      </c>
      <c r="J42" s="32" t="n">
        <f aca="false">I42/F42</f>
        <v>202795.698924731</v>
      </c>
      <c r="K42" s="34" t="n">
        <f aca="false">I42/$I$60</f>
        <v>0.0597185060874246</v>
      </c>
      <c r="L42" s="51" t="n">
        <f aca="false">INDEX(Tape_ApprValue,MATCH($D42,Tape_Property,0))</f>
        <v>37600000</v>
      </c>
      <c r="M42" s="34" t="n">
        <f aca="false">I42/L42-1</f>
        <v>0.00319148936170222</v>
      </c>
      <c r="N42" s="35" t="n">
        <f aca="false">W12/L42</f>
        <v>0.0585869785004338</v>
      </c>
      <c r="O42" s="51" t="n">
        <f aca="false">INDEX(Tape_MtgBal,MATCH($D42,Tape_Property,0))</f>
        <v>29240000</v>
      </c>
      <c r="P42" s="51" t="n">
        <f aca="false">INDEX(Tape_ALA,MATCH($D42,Tape_Property,0))</f>
        <v>31900000</v>
      </c>
      <c r="Q42" s="34" t="n">
        <f aca="false">O42/I42</f>
        <v>0.775185577942736</v>
      </c>
      <c r="R42" s="34" t="n">
        <f aca="false">P42/I42</f>
        <v>0.845705196182397</v>
      </c>
      <c r="S42" s="35" t="n">
        <f aca="false">G42/O42</f>
        <v>0.0709579944863646</v>
      </c>
      <c r="T42" s="35" t="n">
        <f aca="false">G42/P42</f>
        <v>0.065041120964931</v>
      </c>
      <c r="U42" s="35" t="n">
        <f aca="false">W12/P42</f>
        <v>0.0690554981697903</v>
      </c>
    </row>
    <row r="43" customFormat="false" ht="15" hidden="false" customHeight="false" outlineLevel="0" collapsed="false">
      <c r="D43" s="23" t="str">
        <f aca="false">D13</f>
        <v>Rise Fossil Creek</v>
      </c>
      <c r="E43" s="23" t="str">
        <f aca="false">E13</f>
        <v>Dallas-Fort Worth</v>
      </c>
      <c r="F43" s="27" t="n">
        <f aca="false">F13</f>
        <v>288</v>
      </c>
      <c r="G43" s="25" t="n">
        <f aca="false">S13</f>
        <v>1992143.4587</v>
      </c>
      <c r="H43" s="63" t="n">
        <f aca="false">INDEX(SSP_CapRate,MATCH($D43,UWD_Asset,0))</f>
        <v>0.0625</v>
      </c>
      <c r="I43" s="53" t="n">
        <f aca="false">ROUND(G43/H43,-4)</f>
        <v>31870000</v>
      </c>
      <c r="J43" s="25" t="n">
        <f aca="false">I43/F43</f>
        <v>110659.722222222</v>
      </c>
      <c r="K43" s="26" t="n">
        <f aca="false">I43/$I$60</f>
        <v>0.0504567547456581</v>
      </c>
      <c r="L43" s="49" t="n">
        <f aca="false">INDEX(Tape_ApprValue,MATCH($D43,Tape_Property,0))</f>
        <v>35900000</v>
      </c>
      <c r="M43" s="26" t="n">
        <f aca="false">I43/L43-1</f>
        <v>-0.112256267409471</v>
      </c>
      <c r="N43" s="14" t="n">
        <f aca="false">W13/L43</f>
        <v>0.0612143773927275</v>
      </c>
      <c r="O43" s="49" t="n">
        <f aca="false">INDEX(Tape_MtgBal,MATCH($D43,Tape_Property,0))</f>
        <v>28590000</v>
      </c>
      <c r="P43" s="49" t="n">
        <f aca="false">INDEX(Tape_ALA,MATCH($D43,Tape_Property,0))</f>
        <v>31200000</v>
      </c>
      <c r="Q43" s="26" t="n">
        <f aca="false">O43/I43</f>
        <v>0.897081895199247</v>
      </c>
      <c r="R43" s="26" t="n">
        <f aca="false">P43/I43</f>
        <v>0.978977094446188</v>
      </c>
      <c r="S43" s="14" t="n">
        <f aca="false">G43/O43</f>
        <v>0.0696797292305002</v>
      </c>
      <c r="T43" s="14" t="n">
        <f aca="false">G43/P43</f>
        <v>0.0638507518814103</v>
      </c>
      <c r="U43" s="14" t="n">
        <f aca="false">W13/P43</f>
        <v>0.0704357739871448</v>
      </c>
    </row>
    <row r="44" customFormat="false" ht="15" hidden="false" customHeight="false" outlineLevel="0" collapsed="false">
      <c r="D44" s="30" t="str">
        <f aca="false">D14</f>
        <v>Rise Desert West</v>
      </c>
      <c r="E44" s="30" t="str">
        <f aca="false">E14</f>
        <v>Phoenix</v>
      </c>
      <c r="F44" s="36" t="n">
        <f aca="false">F14</f>
        <v>204</v>
      </c>
      <c r="G44" s="32" t="n">
        <f aca="false">S14</f>
        <v>1756853.98164961</v>
      </c>
      <c r="H44" s="68" t="n">
        <f aca="false">INDEX(SSP_CapRate,MATCH($D44,UWD_Asset,0))</f>
        <v>0.055</v>
      </c>
      <c r="I44" s="69" t="n">
        <f aca="false">ROUND(G44/H44,-4)</f>
        <v>31940000</v>
      </c>
      <c r="J44" s="32" t="n">
        <f aca="false">I44/F44</f>
        <v>156568.62745098</v>
      </c>
      <c r="K44" s="34" t="n">
        <f aca="false">I44/$I$60</f>
        <v>0.0505675791206877</v>
      </c>
      <c r="L44" s="51" t="n">
        <f aca="false">INDEX(Tape_ApprValue,MATCH($D44,Tape_Property,0))</f>
        <v>34800000</v>
      </c>
      <c r="M44" s="34" t="n">
        <f aca="false">I44/L44-1</f>
        <v>-0.082183908045977</v>
      </c>
      <c r="N44" s="35" t="n">
        <f aca="false">W14/L44</f>
        <v>0.0576602547936516</v>
      </c>
      <c r="O44" s="51" t="n">
        <f aca="false">INDEX(Tape_MtgBal,MATCH($D44,Tape_Property,0))</f>
        <v>27770000</v>
      </c>
      <c r="P44" s="51" t="n">
        <f aca="false">INDEX(Tape_ALA,MATCH($D44,Tape_Property,0))</f>
        <v>30300000</v>
      </c>
      <c r="Q44" s="34" t="n">
        <f aca="false">O44/I44</f>
        <v>0.86944270507201</v>
      </c>
      <c r="R44" s="34" t="n">
        <f aca="false">P44/I44</f>
        <v>0.948653725735755</v>
      </c>
      <c r="S44" s="35" t="n">
        <f aca="false">G44/O44</f>
        <v>0.0632644573874545</v>
      </c>
      <c r="T44" s="35" t="n">
        <f aca="false">G44/P44</f>
        <v>0.0579819795923964</v>
      </c>
      <c r="U44" s="35" t="n">
        <f aca="false">W14/P44</f>
        <v>0.0662236589709265</v>
      </c>
    </row>
    <row r="45" customFormat="false" ht="15" hidden="false" customHeight="false" outlineLevel="0" collapsed="false">
      <c r="D45" s="23" t="str">
        <f aca="false">D15</f>
        <v>Rise Lakeside</v>
      </c>
      <c r="E45" s="23" t="str">
        <f aca="false">E15</f>
        <v>Phoenix</v>
      </c>
      <c r="F45" s="27" t="n">
        <f aca="false">F15</f>
        <v>288</v>
      </c>
      <c r="G45" s="25" t="n">
        <f aca="false">S15</f>
        <v>1550129.30098412</v>
      </c>
      <c r="H45" s="63" t="n">
        <f aca="false">INDEX(SSP_CapRate,MATCH($D45,UWD_Asset,0))</f>
        <v>0.055</v>
      </c>
      <c r="I45" s="53" t="n">
        <f aca="false">ROUND(G45/H45,-4)</f>
        <v>28180000</v>
      </c>
      <c r="J45" s="25" t="n">
        <f aca="false">I45/F45</f>
        <v>97847.2222222222</v>
      </c>
      <c r="K45" s="26" t="n">
        <f aca="false">I45/$I$60</f>
        <v>0.0446147269762361</v>
      </c>
      <c r="L45" s="49" t="n">
        <f aca="false">INDEX(Tape_ApprValue,MATCH($D45,Tape_Property,0))</f>
        <v>45300000</v>
      </c>
      <c r="M45" s="26" t="n">
        <f aca="false">I45/L45-1</f>
        <v>-0.377924944812362</v>
      </c>
      <c r="N45" s="14" t="n">
        <f aca="false">W15/L45</f>
        <v>0.0474257718030495</v>
      </c>
      <c r="O45" s="49" t="n">
        <f aca="false">INDEX(Tape_MtgBal,MATCH($D45,Tape_Property,0))</f>
        <v>27490000</v>
      </c>
      <c r="P45" s="49" t="n">
        <f aca="false">INDEX(Tape_ALA,MATCH($D45,Tape_Property,0))</f>
        <v>30000000</v>
      </c>
      <c r="Q45" s="26" t="n">
        <f aca="false">O45/I45</f>
        <v>0.975514549325763</v>
      </c>
      <c r="R45" s="26" t="n">
        <f aca="false">P45/I45</f>
        <v>1.06458481192335</v>
      </c>
      <c r="S45" s="14" t="n">
        <f aca="false">G45/O45</f>
        <v>0.056388843251514</v>
      </c>
      <c r="T45" s="14" t="n">
        <f aca="false">G45/P45</f>
        <v>0.0516709766994707</v>
      </c>
      <c r="U45" s="14" t="n">
        <f aca="false">W15/P45</f>
        <v>0.0716129154226048</v>
      </c>
    </row>
    <row r="46" customFormat="false" ht="15" hidden="false" customHeight="false" outlineLevel="0" collapsed="false">
      <c r="D46" s="30" t="str">
        <f aca="false">D16</f>
        <v>Rise Spring Pointe</v>
      </c>
      <c r="E46" s="30" t="str">
        <f aca="false">E16</f>
        <v>Dallas-Fort Worth</v>
      </c>
      <c r="F46" s="36" t="n">
        <f aca="false">F16</f>
        <v>323</v>
      </c>
      <c r="G46" s="32" t="n">
        <f aca="false">S16</f>
        <v>1809990.35314117</v>
      </c>
      <c r="H46" s="68" t="n">
        <f aca="false">INDEX(SSP_CapRate,MATCH($D46,UWD_Asset,0))</f>
        <v>0.0625</v>
      </c>
      <c r="I46" s="69" t="n">
        <f aca="false">ROUND(G46/H46,-4)</f>
        <v>28960000</v>
      </c>
      <c r="J46" s="32" t="n">
        <f aca="false">I46/F46</f>
        <v>89659.4427244582</v>
      </c>
      <c r="K46" s="34" t="n">
        <f aca="false">I46/$I$60</f>
        <v>0.0458496271551383</v>
      </c>
      <c r="L46" s="51" t="n">
        <f aca="false">INDEX(Tape_ApprValue,MATCH($D46,Tape_Property,0))</f>
        <v>34800000</v>
      </c>
      <c r="M46" s="34" t="n">
        <f aca="false">I46/L46-1</f>
        <v>-0.167816091954023</v>
      </c>
      <c r="N46" s="35" t="n">
        <f aca="false">W16/L46</f>
        <v>0.053030886678954</v>
      </c>
      <c r="O46" s="51" t="n">
        <f aca="false">INDEX(Tape_MtgBal,MATCH($D46,Tape_Property,0))</f>
        <v>24010000</v>
      </c>
      <c r="P46" s="51" t="n">
        <f aca="false">INDEX(Tape_ALA,MATCH($D46,Tape_Property,0))</f>
        <v>26200000</v>
      </c>
      <c r="Q46" s="34" t="n">
        <f aca="false">O46/I46</f>
        <v>0.829074585635359</v>
      </c>
      <c r="R46" s="34" t="n">
        <f aca="false">P46/I46</f>
        <v>0.904696132596685</v>
      </c>
      <c r="S46" s="35" t="n">
        <f aca="false">G46/O46</f>
        <v>0.0753848543582327</v>
      </c>
      <c r="T46" s="35" t="n">
        <f aca="false">G46/P46</f>
        <v>0.0690836012649301</v>
      </c>
      <c r="U46" s="35" t="n">
        <f aca="false">W16/P46</f>
        <v>0.0704379716193741</v>
      </c>
    </row>
    <row r="47" customFormat="false" ht="15" hidden="false" customHeight="false" outlineLevel="0" collapsed="false">
      <c r="D47" s="23" t="str">
        <f aca="false">D17</f>
        <v>Rise Skyline</v>
      </c>
      <c r="E47" s="23" t="str">
        <f aca="false">E17</f>
        <v>Dallas-Fort Worth</v>
      </c>
      <c r="F47" s="27" t="n">
        <f aca="false">F17</f>
        <v>200</v>
      </c>
      <c r="G47" s="25" t="n">
        <f aca="false">S17</f>
        <v>1497770.9405</v>
      </c>
      <c r="H47" s="63" t="n">
        <f aca="false">INDEX(SSP_CapRate,MATCH($D47,UWD_Asset,0))</f>
        <v>0.055</v>
      </c>
      <c r="I47" s="53" t="n">
        <f aca="false">ROUND(G47/H47,-4)</f>
        <v>27230000</v>
      </c>
      <c r="J47" s="25" t="n">
        <f aca="false">I47/F47</f>
        <v>136150</v>
      </c>
      <c r="K47" s="26" t="n">
        <f aca="false">I47/$I$60</f>
        <v>0.0431106818865475</v>
      </c>
      <c r="L47" s="49" t="n">
        <f aca="false">INDEX(Tape_ApprValue,MATCH($D47,Tape_Property,0))</f>
        <v>30600000</v>
      </c>
      <c r="M47" s="26" t="n">
        <f aca="false">I47/L47-1</f>
        <v>-0.110130718954248</v>
      </c>
      <c r="N47" s="14" t="n">
        <f aca="false">W17/L47</f>
        <v>0.0572098340996386</v>
      </c>
      <c r="O47" s="49" t="n">
        <f aca="false">INDEX(Tape_MtgBal,MATCH($D47,Tape_Property,0))</f>
        <v>22910000</v>
      </c>
      <c r="P47" s="49" t="n">
        <f aca="false">INDEX(Tape_ALA,MATCH($D47,Tape_Property,0))</f>
        <v>25000000</v>
      </c>
      <c r="Q47" s="26" t="n">
        <f aca="false">O47/I47</f>
        <v>0.841351450605949</v>
      </c>
      <c r="R47" s="26" t="n">
        <f aca="false">P47/I47</f>
        <v>0.918105031215571</v>
      </c>
      <c r="S47" s="14" t="n">
        <f aca="false">G47/O47</f>
        <v>0.0653762959624618</v>
      </c>
      <c r="T47" s="14" t="n">
        <f aca="false">G47/P47</f>
        <v>0.05991083762</v>
      </c>
      <c r="U47" s="14" t="n">
        <f aca="false">W17/P47</f>
        <v>0.0700248369379576</v>
      </c>
    </row>
    <row r="48" customFormat="false" ht="15" hidden="false" customHeight="false" outlineLevel="0" collapsed="false">
      <c r="D48" s="30" t="str">
        <f aca="false">D18</f>
        <v>Rise Hillcrest</v>
      </c>
      <c r="E48" s="30" t="str">
        <f aca="false">E18</f>
        <v>Dallas-Fort Worth</v>
      </c>
      <c r="F48" s="36" t="n">
        <f aca="false">F18</f>
        <v>224</v>
      </c>
      <c r="G48" s="32" t="n">
        <f aca="false">S18</f>
        <v>1579104.457</v>
      </c>
      <c r="H48" s="68" t="n">
        <f aca="false">INDEX(SSP_CapRate,MATCH($D48,UWD_Asset,0))</f>
        <v>0.0625</v>
      </c>
      <c r="I48" s="69" t="n">
        <f aca="false">ROUND(G48/H48,-4)</f>
        <v>25270000</v>
      </c>
      <c r="J48" s="32" t="n">
        <f aca="false">I48/F48</f>
        <v>112812.5</v>
      </c>
      <c r="K48" s="34" t="n">
        <f aca="false">I48/$I$60</f>
        <v>0.0400075993857163</v>
      </c>
      <c r="L48" s="51" t="n">
        <f aca="false">INDEX(Tape_ApprValue,MATCH($D48,Tape_Property,0))</f>
        <v>26500000</v>
      </c>
      <c r="M48" s="34" t="n">
        <f aca="false">I48/L48-1</f>
        <v>-0.0464150943396227</v>
      </c>
      <c r="N48" s="35" t="n">
        <f aca="false">W18/L48</f>
        <v>0.0594962004202987</v>
      </c>
      <c r="O48" s="51" t="n">
        <f aca="false">INDEX(Tape_MtgBal,MATCH($D48,Tape_Property,0))</f>
        <v>21170000</v>
      </c>
      <c r="P48" s="51" t="n">
        <f aca="false">INDEX(Tape_ALA,MATCH($D48,Tape_Property,0))</f>
        <v>23100000</v>
      </c>
      <c r="Q48" s="34" t="n">
        <f aca="false">O48/I48</f>
        <v>0.837752275425406</v>
      </c>
      <c r="R48" s="34" t="n">
        <f aca="false">P48/I48</f>
        <v>0.914127423822715</v>
      </c>
      <c r="S48" s="35" t="n">
        <f aca="false">G48/O48</f>
        <v>0.0745916134624469</v>
      </c>
      <c r="T48" s="35" t="n">
        <f aca="false">G48/P48</f>
        <v>0.0683595003030303</v>
      </c>
      <c r="U48" s="35" t="n">
        <f aca="false">W18/P48</f>
        <v>0.0682532169323773</v>
      </c>
    </row>
    <row r="49" customFormat="false" ht="15" hidden="false" customHeight="false" outlineLevel="0" collapsed="false">
      <c r="D49" s="23" t="str">
        <f aca="false">D19</f>
        <v>Rise on Cave Creek</v>
      </c>
      <c r="E49" s="23" t="str">
        <f aca="false">E19</f>
        <v>Phoenix</v>
      </c>
      <c r="F49" s="27" t="n">
        <f aca="false">F19</f>
        <v>141</v>
      </c>
      <c r="G49" s="25" t="n">
        <f aca="false">S19</f>
        <v>1322908.14566371</v>
      </c>
      <c r="H49" s="63" t="n">
        <f aca="false">INDEX(SSP_CapRate,MATCH($D49,UWD_Asset,0))</f>
        <v>0.055</v>
      </c>
      <c r="I49" s="53" t="n">
        <f aca="false">ROUND(G49/H49,-4)</f>
        <v>24050000</v>
      </c>
      <c r="J49" s="25" t="n">
        <f aca="false">I49/F49</f>
        <v>170567.375886525</v>
      </c>
      <c r="K49" s="26" t="n">
        <f aca="false">I49/$I$60</f>
        <v>0.0380760888494847</v>
      </c>
      <c r="L49" s="49" t="n">
        <f aca="false">INDEX(Tape_ApprValue,MATCH($D49,Tape_Property,0))</f>
        <v>28900000</v>
      </c>
      <c r="M49" s="26" t="n">
        <f aca="false">I49/L49-1</f>
        <v>-0.167820069204152</v>
      </c>
      <c r="N49" s="14" t="n">
        <f aca="false">W19/L49</f>
        <v>0.0489180988521955</v>
      </c>
      <c r="O49" s="49" t="n">
        <f aca="false">INDEX(Tape_MtgBal,MATCH($D49,Tape_Property,0))</f>
        <v>20890000</v>
      </c>
      <c r="P49" s="49" t="n">
        <f aca="false">INDEX(Tape_ALA,MATCH($D49,Tape_Property,0))</f>
        <v>22800000</v>
      </c>
      <c r="Q49" s="26" t="n">
        <f aca="false">O49/I49</f>
        <v>0.868607068607069</v>
      </c>
      <c r="R49" s="26" t="n">
        <f aca="false">P49/I49</f>
        <v>0.948024948024948</v>
      </c>
      <c r="S49" s="14" t="n">
        <f aca="false">G49/O49</f>
        <v>0.0633273406253569</v>
      </c>
      <c r="T49" s="14" t="n">
        <f aca="false">G49/P49</f>
        <v>0.0580222870905134</v>
      </c>
      <c r="U49" s="14" t="n">
        <f aca="false">W19/P49</f>
        <v>0.0620058358258092</v>
      </c>
    </row>
    <row r="50" customFormat="false" ht="15" hidden="false" customHeight="false" outlineLevel="0" collapsed="false">
      <c r="D50" s="30" t="str">
        <f aca="false">D20</f>
        <v>Rise West Arlington</v>
      </c>
      <c r="E50" s="30" t="str">
        <f aca="false">E20</f>
        <v>Dallas-Fort Worth</v>
      </c>
      <c r="F50" s="36" t="n">
        <f aca="false">F20</f>
        <v>220</v>
      </c>
      <c r="G50" s="32" t="n">
        <f aca="false">S20</f>
        <v>966489.934893808</v>
      </c>
      <c r="H50" s="68" t="n">
        <f aca="false">INDEX(SSP_CapRate,MATCH($D50,UWD_Asset,0))</f>
        <v>0.0625</v>
      </c>
      <c r="I50" s="69" t="n">
        <f aca="false">ROUND(G50/H50,-4)</f>
        <v>15460000</v>
      </c>
      <c r="J50" s="32" t="n">
        <f aca="false">I50/F50</f>
        <v>70272.7272727273</v>
      </c>
      <c r="K50" s="34" t="n">
        <f aca="false">I50/$I$60</f>
        <v>0.0244763548279847</v>
      </c>
      <c r="L50" s="51" t="n">
        <f aca="false">INDEX(Tape_ApprValue,MATCH($D50,Tape_Property,0))</f>
        <v>27300000</v>
      </c>
      <c r="M50" s="34" t="n">
        <f aca="false">I50/L50-1</f>
        <v>-0.433699633699634</v>
      </c>
      <c r="N50" s="35" t="n">
        <f aca="false">W20/L50</f>
        <v>0.060590734106974</v>
      </c>
      <c r="O50" s="51" t="n">
        <f aca="false">INDEX(Tape_MtgBal,MATCH($D50,Tape_Property,0))</f>
        <v>20160000</v>
      </c>
      <c r="P50" s="51" t="n">
        <f aca="false">INDEX(Tape_ALA,MATCH($D50,Tape_Property,0))</f>
        <v>22000000</v>
      </c>
      <c r="Q50" s="34" t="n">
        <f aca="false">O50/I50</f>
        <v>1.30401034928849</v>
      </c>
      <c r="R50" s="34" t="n">
        <f aca="false">P50/I50</f>
        <v>1.42302716688228</v>
      </c>
      <c r="S50" s="35" t="n">
        <f aca="false">G50/O50</f>
        <v>0.0479409689927484</v>
      </c>
      <c r="T50" s="35" t="n">
        <f aca="false">G50/P50</f>
        <v>0.0439313606769913</v>
      </c>
      <c r="U50" s="35" t="n">
        <f aca="false">W20/P50</f>
        <v>0.0751875927781995</v>
      </c>
    </row>
    <row r="51" customFormat="false" ht="15" hidden="false" customHeight="false" outlineLevel="0" collapsed="false">
      <c r="D51" s="23" t="str">
        <f aca="false">D21</f>
        <v>Rise Heather Ridge</v>
      </c>
      <c r="E51" s="23" t="str">
        <f aca="false">E21</f>
        <v>Dallas-Fort Worth</v>
      </c>
      <c r="F51" s="27" t="n">
        <f aca="false">F21</f>
        <v>252</v>
      </c>
      <c r="G51" s="25" t="n">
        <f aca="false">S21</f>
        <v>1506753.92465221</v>
      </c>
      <c r="H51" s="63" t="n">
        <f aca="false">INDEX(SSP_CapRate,MATCH($D51,UWD_Asset,0))</f>
        <v>0.0625</v>
      </c>
      <c r="I51" s="53" t="n">
        <f aca="false">ROUND(G51/H51,-4)</f>
        <v>24110000</v>
      </c>
      <c r="J51" s="25" t="n">
        <f aca="false">I51/F51</f>
        <v>95674.6031746032</v>
      </c>
      <c r="K51" s="26" t="n">
        <f aca="false">I51/$I$60</f>
        <v>0.0381710811709387</v>
      </c>
      <c r="L51" s="49" t="n">
        <f aca="false">INDEX(Tape_ApprValue,MATCH($D51,Tape_Property,0))</f>
        <v>29000000</v>
      </c>
      <c r="M51" s="26" t="n">
        <f aca="false">I51/L51-1</f>
        <v>-0.168620689655172</v>
      </c>
      <c r="N51" s="14" t="n">
        <f aca="false">W21/L51</f>
        <v>0.0578802126615473</v>
      </c>
      <c r="O51" s="49" t="n">
        <f aca="false">INDEX(Tape_MtgBal,MATCH($D51,Tape_Property,0))</f>
        <v>20160000</v>
      </c>
      <c r="P51" s="49" t="n">
        <f aca="false">INDEX(Tape_ALA,MATCH($D51,Tape_Property,0))</f>
        <v>22000000</v>
      </c>
      <c r="Q51" s="26" t="n">
        <f aca="false">O51/I51</f>
        <v>0.836167565325591</v>
      </c>
      <c r="R51" s="26" t="n">
        <f aca="false">P51/I51</f>
        <v>0.912484446287847</v>
      </c>
      <c r="S51" s="14" t="n">
        <f aca="false">G51/O51</f>
        <v>0.0747397780085424</v>
      </c>
      <c r="T51" s="14" t="n">
        <f aca="false">G51/P51</f>
        <v>0.0684888147569188</v>
      </c>
      <c r="U51" s="14" t="n">
        <f aca="false">W21/P51</f>
        <v>0.0762966439629487</v>
      </c>
    </row>
    <row r="52" customFormat="false" ht="15" hidden="false" customHeight="false" outlineLevel="0" collapsed="false">
      <c r="D52" s="30" t="str">
        <f aca="false">D22</f>
        <v>Rise on Cactus</v>
      </c>
      <c r="E52" s="30" t="str">
        <f aca="false">E22</f>
        <v>Phoenix</v>
      </c>
      <c r="F52" s="36" t="n">
        <f aca="false">F22</f>
        <v>124</v>
      </c>
      <c r="G52" s="32" t="n">
        <f aca="false">S22</f>
        <v>1107577.9954485</v>
      </c>
      <c r="H52" s="68" t="n">
        <f aca="false">INDEX(SSP_CapRate,MATCH($D52,UWD_Asset,0))</f>
        <v>0.055</v>
      </c>
      <c r="I52" s="69" t="n">
        <f aca="false">ROUND(G52/H52,-4)</f>
        <v>20140000</v>
      </c>
      <c r="J52" s="32" t="n">
        <f aca="false">I52/F52</f>
        <v>162419.35483871</v>
      </c>
      <c r="K52" s="34" t="n">
        <f aca="false">I52/$I$60</f>
        <v>0.031885755901398</v>
      </c>
      <c r="L52" s="51" t="n">
        <f aca="false">INDEX(Tape_ApprValue,MATCH($D52,Tape_Property,0))</f>
        <v>24800000</v>
      </c>
      <c r="M52" s="34" t="n">
        <f aca="false">I52/L52-1</f>
        <v>-0.187903225806452</v>
      </c>
      <c r="N52" s="35" t="n">
        <f aca="false">W22/L52</f>
        <v>0.0528739528255376</v>
      </c>
      <c r="O52" s="51" t="n">
        <f aca="false">INDEX(Tape_MtgBal,MATCH($D52,Tape_Property,0))</f>
        <v>18790000</v>
      </c>
      <c r="P52" s="51" t="n">
        <f aca="false">INDEX(Tape_ALA,MATCH($D52,Tape_Property,0))</f>
        <v>20500000</v>
      </c>
      <c r="Q52" s="34" t="n">
        <f aca="false">O52/I52</f>
        <v>0.932969215491559</v>
      </c>
      <c r="R52" s="34" t="n">
        <f aca="false">P52/I52</f>
        <v>1.01787487586892</v>
      </c>
      <c r="S52" s="35" t="n">
        <f aca="false">G52/O52</f>
        <v>0.058945076926477</v>
      </c>
      <c r="T52" s="35" t="n">
        <f aca="false">G52/P52</f>
        <v>0.054028194899927</v>
      </c>
      <c r="U52" s="35" t="n">
        <f aca="false">W22/P52</f>
        <v>0.0639645868328455</v>
      </c>
    </row>
    <row r="53" customFormat="false" ht="15" hidden="false" customHeight="false" outlineLevel="0" collapsed="false">
      <c r="D53" s="23" t="str">
        <f aca="false">D23</f>
        <v>Rise on McClintock</v>
      </c>
      <c r="E53" s="23" t="str">
        <f aca="false">E23</f>
        <v>Phoenix</v>
      </c>
      <c r="F53" s="27" t="n">
        <f aca="false">F23</f>
        <v>112</v>
      </c>
      <c r="G53" s="25" t="n">
        <f aca="false">S23</f>
        <v>1321501.528</v>
      </c>
      <c r="H53" s="63" t="n">
        <f aca="false">INDEX(SSP_CapRate,MATCH($D53,UWD_Asset,0))</f>
        <v>0.055</v>
      </c>
      <c r="I53" s="53" t="n">
        <f aca="false">ROUND(G53/H53,-4)</f>
        <v>24030000</v>
      </c>
      <c r="J53" s="25" t="n">
        <f aca="false">I53/F53</f>
        <v>214553.571428571</v>
      </c>
      <c r="K53" s="26" t="n">
        <f aca="false">I53/$I$60</f>
        <v>0.0380444247423333</v>
      </c>
      <c r="L53" s="49" t="n">
        <f aca="false">INDEX(Tape_ApprValue,MATCH($D53,Tape_Property,0))</f>
        <v>24000000</v>
      </c>
      <c r="M53" s="26" t="n">
        <f aca="false">I53/L53-1</f>
        <v>0.00124999999999997</v>
      </c>
      <c r="N53" s="14" t="n">
        <f aca="false">W23/L53</f>
        <v>0.0541186222918566</v>
      </c>
      <c r="O53" s="49" t="n">
        <f aca="false">INDEX(Tape_MtgBal,MATCH($D53,Tape_Property,0))</f>
        <v>18700000</v>
      </c>
      <c r="P53" s="49" t="n">
        <f aca="false">INDEX(Tape_ALA,MATCH($D53,Tape_Property,0))</f>
        <v>20400000</v>
      </c>
      <c r="Q53" s="26" t="n">
        <f aca="false">O53/I53</f>
        <v>0.77819392426134</v>
      </c>
      <c r="R53" s="26" t="n">
        <f aca="false">P53/I53</f>
        <v>0.848938826466916</v>
      </c>
      <c r="S53" s="14" t="n">
        <f aca="false">G53/O53</f>
        <v>0.0706685309090909</v>
      </c>
      <c r="T53" s="14" t="n">
        <f aca="false">G53/P53</f>
        <v>0.0647794866666667</v>
      </c>
      <c r="U53" s="14" t="n">
        <f aca="false">W23/P53</f>
        <v>0.0636689674021843</v>
      </c>
    </row>
    <row r="54" customFormat="false" ht="15" hidden="false" customHeight="false" outlineLevel="0" collapsed="false">
      <c r="D54" s="30" t="str">
        <f aca="false">D24</f>
        <v>Rise at Town East</v>
      </c>
      <c r="E54" s="30" t="str">
        <f aca="false">E24</f>
        <v>Dallas-Fort Worth</v>
      </c>
      <c r="F54" s="36" t="n">
        <f aca="false">F24</f>
        <v>210</v>
      </c>
      <c r="G54" s="32" t="n">
        <f aca="false">S24</f>
        <v>1261204.56928496</v>
      </c>
      <c r="H54" s="68" t="n">
        <f aca="false">INDEX(SSP_CapRate,MATCH($D54,UWD_Asset,0))</f>
        <v>0.0625</v>
      </c>
      <c r="I54" s="69" t="n">
        <f aca="false">ROUND(G54/H54,-4)</f>
        <v>20180000</v>
      </c>
      <c r="J54" s="32" t="n">
        <f aca="false">I54/F54</f>
        <v>96095.2380952381</v>
      </c>
      <c r="K54" s="34" t="n">
        <f aca="false">I54/$I$60</f>
        <v>0.0319490841157006</v>
      </c>
      <c r="L54" s="51" t="n">
        <f aca="false">INDEX(Tape_ApprValue,MATCH($D54,Tape_Property,0))</f>
        <v>21700000</v>
      </c>
      <c r="M54" s="34" t="n">
        <f aca="false">I54/L54-1</f>
        <v>-0.0700460829493088</v>
      </c>
      <c r="N54" s="35" t="n">
        <f aca="false">W24/L54</f>
        <v>0.0696157685421329</v>
      </c>
      <c r="O54" s="51" t="n">
        <f aca="false">INDEX(Tape_MtgBal,MATCH($D54,Tape_Property,0))</f>
        <v>17410000</v>
      </c>
      <c r="P54" s="51" t="n">
        <f aca="false">INDEX(Tape_ALA,MATCH($D54,Tape_Property,0))</f>
        <v>19000000</v>
      </c>
      <c r="Q54" s="34" t="n">
        <f aca="false">O54/I54</f>
        <v>0.862735381565907</v>
      </c>
      <c r="R54" s="34" t="n">
        <f aca="false">P54/I54</f>
        <v>0.941526263627354</v>
      </c>
      <c r="S54" s="35" t="n">
        <f aca="false">G54/O54</f>
        <v>0.0724413882415258</v>
      </c>
      <c r="T54" s="35" t="n">
        <f aca="false">G54/P54</f>
        <v>0.0663791878571034</v>
      </c>
      <c r="U54" s="35" t="n">
        <f aca="false">W24/P54</f>
        <v>0.0795085356507517</v>
      </c>
    </row>
    <row r="55" customFormat="false" ht="15" hidden="false" customHeight="false" outlineLevel="0" collapsed="false">
      <c r="D55" s="23" t="str">
        <f aca="false">D25</f>
        <v>Rise at the Meadows</v>
      </c>
      <c r="E55" s="23" t="str">
        <f aca="false">E25</f>
        <v>Phoenix</v>
      </c>
      <c r="F55" s="27" t="n">
        <f aca="false">F25</f>
        <v>120</v>
      </c>
      <c r="G55" s="25" t="n">
        <f aca="false">S25</f>
        <v>1140199.7969</v>
      </c>
      <c r="H55" s="63" t="n">
        <f aca="false">INDEX(SSP_CapRate,MATCH($D55,UWD_Asset,0))</f>
        <v>0.055</v>
      </c>
      <c r="I55" s="53" t="n">
        <f aca="false">ROUND(G55/H55,-4)</f>
        <v>20730000</v>
      </c>
      <c r="J55" s="25" t="n">
        <f aca="false">I55/F55</f>
        <v>172750</v>
      </c>
      <c r="K55" s="26" t="n">
        <f aca="false">I55/$I$60</f>
        <v>0.0328198470623625</v>
      </c>
      <c r="L55" s="49" t="n">
        <f aca="false">INDEX(Tape_ApprValue,MATCH($D55,Tape_Property,0))</f>
        <v>23800000</v>
      </c>
      <c r="M55" s="26" t="n">
        <f aca="false">I55/L55-1</f>
        <v>-0.128991596638655</v>
      </c>
      <c r="N55" s="14" t="n">
        <f aca="false">W25/L55</f>
        <v>0.0502854170336418</v>
      </c>
      <c r="O55" s="49" t="n">
        <f aca="false">INDEX(Tape_MtgBal,MATCH($D55,Tape_Property,0))</f>
        <v>17320000</v>
      </c>
      <c r="P55" s="49" t="n">
        <f aca="false">INDEX(Tape_ALA,MATCH($D55,Tape_Property,0))</f>
        <v>18900000</v>
      </c>
      <c r="Q55" s="26" t="n">
        <f aca="false">O55/I55</f>
        <v>0.835504100337675</v>
      </c>
      <c r="R55" s="26" t="n">
        <f aca="false">P55/I55</f>
        <v>0.911722141823444</v>
      </c>
      <c r="S55" s="14" t="n">
        <f aca="false">G55/O55</f>
        <v>0.0658313970496536</v>
      </c>
      <c r="T55" s="14" t="n">
        <f aca="false">G55/P55</f>
        <v>0.0603280315820106</v>
      </c>
      <c r="U55" s="14" t="n">
        <f aca="false">W25/P55</f>
        <v>0.0633223770053267</v>
      </c>
    </row>
    <row r="56" customFormat="false" ht="15" hidden="false" customHeight="false" outlineLevel="0" collapsed="false">
      <c r="D56" s="30" t="str">
        <f aca="false">D26</f>
        <v>Rise Oak Creek</v>
      </c>
      <c r="E56" s="30" t="str">
        <f aca="false">E26</f>
        <v>Dallas-Fort Worth</v>
      </c>
      <c r="F56" s="36" t="n">
        <f aca="false">F26</f>
        <v>176</v>
      </c>
      <c r="G56" s="32" t="n">
        <f aca="false">S26</f>
        <v>1207199.724</v>
      </c>
      <c r="H56" s="68" t="n">
        <f aca="false">INDEX(SSP_CapRate,MATCH($D56,UWD_Asset,0))</f>
        <v>0.0625</v>
      </c>
      <c r="I56" s="69" t="n">
        <f aca="false">ROUND(G56/H56,-4)</f>
        <v>19320000</v>
      </c>
      <c r="J56" s="32" t="n">
        <f aca="false">I56/F56</f>
        <v>109772.727272727</v>
      </c>
      <c r="K56" s="34" t="n">
        <f aca="false">I56/$I$60</f>
        <v>0.0305875275081931</v>
      </c>
      <c r="L56" s="51" t="n">
        <f aca="false">INDEX(Tape_ApprValue,MATCH($D56,Tape_Property,0))</f>
        <v>21300000</v>
      </c>
      <c r="M56" s="34" t="n">
        <f aca="false">I56/L56-1</f>
        <v>-0.0929577464788732</v>
      </c>
      <c r="N56" s="35" t="n">
        <f aca="false">W26/L56</f>
        <v>0.0698592077983532</v>
      </c>
      <c r="O56" s="51" t="n">
        <f aca="false">INDEX(Tape_MtgBal,MATCH($D56,Tape_Property,0))</f>
        <v>17050000</v>
      </c>
      <c r="P56" s="51" t="n">
        <f aca="false">INDEX(Tape_ALA,MATCH($D56,Tape_Property,0))</f>
        <v>18600000</v>
      </c>
      <c r="Q56" s="34" t="n">
        <f aca="false">O56/I56</f>
        <v>0.882505175983437</v>
      </c>
      <c r="R56" s="34" t="n">
        <f aca="false">P56/I56</f>
        <v>0.962732919254658</v>
      </c>
      <c r="S56" s="35" t="n">
        <f aca="false">G56/O56</f>
        <v>0.0708035028739003</v>
      </c>
      <c r="T56" s="35" t="n">
        <f aca="false">G56/P56</f>
        <v>0.0649032109677419</v>
      </c>
      <c r="U56" s="35" t="n">
        <f aca="false">W26/P56</f>
        <v>0.0800000605432754</v>
      </c>
    </row>
    <row r="57" customFormat="false" ht="15" hidden="false" customHeight="false" outlineLevel="0" collapsed="false">
      <c r="D57" s="23" t="str">
        <f aca="false">D27</f>
        <v>Rise North Arlington</v>
      </c>
      <c r="E57" s="23" t="str">
        <f aca="false">E27</f>
        <v>Dallas-Fort Worth</v>
      </c>
      <c r="F57" s="27" t="n">
        <f aca="false">F27</f>
        <v>262</v>
      </c>
      <c r="G57" s="25" t="n">
        <f aca="false">S27</f>
        <v>1327071.09999362</v>
      </c>
      <c r="H57" s="63" t="n">
        <f aca="false">INDEX(SSP_CapRate,MATCH($D57,UWD_Asset,0))</f>
        <v>0.0625</v>
      </c>
      <c r="I57" s="53" t="n">
        <f aca="false">ROUND(G57/H57,-4)</f>
        <v>21230000</v>
      </c>
      <c r="J57" s="25" t="n">
        <f aca="false">I57/F57</f>
        <v>81030.534351145</v>
      </c>
      <c r="K57" s="26" t="n">
        <f aca="false">I57/$I$60</f>
        <v>0.0336114497411459</v>
      </c>
      <c r="L57" s="49" t="n">
        <f aca="false">INDEX(Tape_ApprValue,MATCH($D57,Tape_Property,0))</f>
        <v>32800000</v>
      </c>
      <c r="M57" s="26" t="n">
        <f aca="false">I57/L57-1</f>
        <v>-0.352743902439024</v>
      </c>
      <c r="N57" s="14" t="n">
        <f aca="false">W27/L57</f>
        <v>0.0459368362706874</v>
      </c>
      <c r="O57" s="49" t="n">
        <f aca="false">INDEX(Tape_MtgBal,MATCH($D57,Tape_Property,0))</f>
        <v>16500000</v>
      </c>
      <c r="P57" s="49" t="n">
        <f aca="false">INDEX(Tape_ALA,MATCH($D57,Tape_Property,0))</f>
        <v>18000000</v>
      </c>
      <c r="Q57" s="26" t="n">
        <f aca="false">O57/I57</f>
        <v>0.77720207253886</v>
      </c>
      <c r="R57" s="26" t="n">
        <f aca="false">P57/I57</f>
        <v>0.847856806406029</v>
      </c>
      <c r="S57" s="14" t="n">
        <f aca="false">G57/O57</f>
        <v>0.0804285515147649</v>
      </c>
      <c r="T57" s="14" t="n">
        <f aca="false">G57/P57</f>
        <v>0.0737261722218678</v>
      </c>
      <c r="U57" s="14" t="n">
        <f aca="false">W27/P57</f>
        <v>0.0837071238710304</v>
      </c>
    </row>
    <row r="58" customFormat="false" ht="15" hidden="false" customHeight="false" outlineLevel="0" collapsed="false">
      <c r="D58" s="30" t="str">
        <f aca="false">D28</f>
        <v>Rise Gateway</v>
      </c>
      <c r="E58" s="30" t="str">
        <f aca="false">E28</f>
        <v>Dallas-Fort Worth</v>
      </c>
      <c r="F58" s="36" t="n">
        <f aca="false">F28</f>
        <v>142</v>
      </c>
      <c r="G58" s="32" t="n">
        <f aca="false">S28</f>
        <v>962388.2623</v>
      </c>
      <c r="H58" s="68" t="n">
        <f aca="false">INDEX(SSP_CapRate,MATCH($D58,UWD_Asset,0))</f>
        <v>0.0625</v>
      </c>
      <c r="I58" s="69" t="n">
        <f aca="false">ROUND(G58/H58,-4)</f>
        <v>15400000</v>
      </c>
      <c r="J58" s="32" t="n">
        <f aca="false">I58/F58</f>
        <v>108450.704225352</v>
      </c>
      <c r="K58" s="34" t="n">
        <f aca="false">I58/$I$60</f>
        <v>0.0243813625065307</v>
      </c>
      <c r="L58" s="51" t="n">
        <f aca="false">INDEX(Tape_ApprValue,MATCH($D58,Tape_Property,0))</f>
        <v>18400000</v>
      </c>
      <c r="M58" s="34" t="n">
        <f aca="false">I58/L58-1</f>
        <v>-0.16304347826087</v>
      </c>
      <c r="N58" s="35" t="n">
        <f aca="false">W28/L58</f>
        <v>0.0574981724798626</v>
      </c>
      <c r="O58" s="51" t="n">
        <f aca="false">INDEX(Tape_MtgBal,MATCH($D58,Tape_Property,0))</f>
        <v>14750000</v>
      </c>
      <c r="P58" s="51" t="n">
        <f aca="false">INDEX(Tape_ALA,MATCH($D58,Tape_Property,0))</f>
        <v>16100000</v>
      </c>
      <c r="Q58" s="34" t="n">
        <f aca="false">O58/I58</f>
        <v>0.957792207792208</v>
      </c>
      <c r="R58" s="34" t="n">
        <f aca="false">P58/I58</f>
        <v>1.04545454545455</v>
      </c>
      <c r="S58" s="35" t="n">
        <f aca="false">G58/O58</f>
        <v>0.0652466618508475</v>
      </c>
      <c r="T58" s="35" t="n">
        <f aca="false">G58/P58</f>
        <v>0.0597756684658385</v>
      </c>
      <c r="U58" s="35" t="n">
        <f aca="false">W28/P58</f>
        <v>0.065712197119843</v>
      </c>
    </row>
    <row r="59" customFormat="false" ht="15" hidden="false" customHeight="false" outlineLevel="0" collapsed="false">
      <c r="D59" s="23" t="str">
        <f aca="false">D29</f>
        <v>Rise Matthews Pointe</v>
      </c>
      <c r="E59" s="23" t="str">
        <f aca="false">E29</f>
        <v>Charlotte</v>
      </c>
      <c r="F59" s="27" t="n">
        <f aca="false">F29</f>
        <v>100</v>
      </c>
      <c r="G59" s="25" t="n">
        <f aca="false">S29</f>
        <v>763784.589003834</v>
      </c>
      <c r="H59" s="63" t="n">
        <f aca="false">INDEX(SSP_CapRate,MATCH($D59,UWD_Asset,0))</f>
        <v>0.0525</v>
      </c>
      <c r="I59" s="53" t="n">
        <f aca="false">ROUND(G59/H59,-4)</f>
        <v>14550000</v>
      </c>
      <c r="J59" s="25" t="n">
        <f aca="false">I59/F59</f>
        <v>145500</v>
      </c>
      <c r="K59" s="26" t="n">
        <f aca="false">I59/$I$60</f>
        <v>0.0230356379525988</v>
      </c>
      <c r="L59" s="49" t="n">
        <f aca="false">INDEX(Tape_ApprValue,MATCH($D59,Tape_Property,0))</f>
        <v>17250000</v>
      </c>
      <c r="M59" s="26" t="n">
        <f aca="false">I59/L59-1</f>
        <v>-0.156521739130435</v>
      </c>
      <c r="N59" s="14" t="n">
        <f aca="false">W29/L59</f>
        <v>0.0508933643485295</v>
      </c>
      <c r="O59" s="49" t="n">
        <f aca="false">INDEX(Tape_MtgBal,MATCH($D59,Tape_Property,0))</f>
        <v>13290000</v>
      </c>
      <c r="P59" s="49" t="n">
        <f aca="false">INDEX(Tape_ALA,MATCH($D59,Tape_Property,0))</f>
        <v>14500000</v>
      </c>
      <c r="Q59" s="26" t="n">
        <f aca="false">O59/I59</f>
        <v>0.91340206185567</v>
      </c>
      <c r="R59" s="26" t="n">
        <f aca="false">P59/I59</f>
        <v>0.996563573883162</v>
      </c>
      <c r="S59" s="14" t="n">
        <f aca="false">G59/O59</f>
        <v>0.0574706237023201</v>
      </c>
      <c r="T59" s="14" t="n">
        <f aca="false">G59/P59</f>
        <v>0.0526747992416437</v>
      </c>
      <c r="U59" s="14" t="n">
        <f aca="false">W29/P59</f>
        <v>0.0605455541387678</v>
      </c>
    </row>
    <row r="60" customFormat="false" ht="15" hidden="false" customHeight="false" outlineLevel="0" collapsed="false">
      <c r="D60" s="41" t="s">
        <v>185</v>
      </c>
      <c r="E60" s="42"/>
      <c r="F60" s="47" t="n">
        <f aca="false">SUM(F37:F59)</f>
        <v>4848</v>
      </c>
      <c r="G60" s="43" t="n">
        <f aca="false">SUM(G37:G59)</f>
        <v>36519450.4775937</v>
      </c>
      <c r="H60" s="46" t="n">
        <f aca="false">G60/I60</f>
        <v>0.0578177896515265</v>
      </c>
      <c r="I60" s="43" t="n">
        <f aca="false">SUM(I37:I59)</f>
        <v>631630000</v>
      </c>
      <c r="J60" s="43" t="n">
        <f aca="false">I60/F60</f>
        <v>130286.716171617</v>
      </c>
      <c r="K60" s="44" t="n">
        <f aca="false">I60/$I$60</f>
        <v>1</v>
      </c>
      <c r="L60" s="43" t="n">
        <f aca="false">SUM(L37:L59)</f>
        <v>738150000</v>
      </c>
      <c r="M60" s="44" t="n">
        <f aca="false">I60/L60-1</f>
        <v>-0.144306712727765</v>
      </c>
      <c r="N60" s="46" t="n">
        <f aca="false">W30/L60</f>
        <v>0.055827968853542</v>
      </c>
      <c r="O60" s="43" t="n">
        <f aca="false">SUM(O37:O59)</f>
        <v>548500000</v>
      </c>
      <c r="P60" s="43" t="n">
        <f aca="false">SUM(P37:P59)</f>
        <v>598500000</v>
      </c>
      <c r="Q60" s="44" t="n">
        <f aca="false">O60/I60</f>
        <v>0.868388138625461</v>
      </c>
      <c r="R60" s="44" t="n">
        <f aca="false">P60/I60</f>
        <v>0.947548406503808</v>
      </c>
      <c r="S60" s="46" t="n">
        <f aca="false">G60/O60</f>
        <v>0.066580584280025</v>
      </c>
      <c r="T60" s="46" t="n">
        <f aca="false">G60/P60</f>
        <v>0.0610182965373328</v>
      </c>
      <c r="U60" s="46" t="n">
        <f aca="false">W30/P60</f>
        <v>0.0688544949193685</v>
      </c>
    </row>
    <row r="63" customFormat="false" ht="15" hidden="false" customHeight="false" outlineLevel="0" collapsed="false">
      <c r="D63" s="52" t="s">
        <v>218</v>
      </c>
    </row>
    <row r="64" customFormat="false" ht="30" hidden="false" customHeight="true" outlineLevel="0" collapsed="false">
      <c r="D64" s="22" t="s">
        <v>219</v>
      </c>
      <c r="E64" s="22" t="s">
        <v>220</v>
      </c>
      <c r="F64" s="22" t="s">
        <v>221</v>
      </c>
      <c r="G64" s="22" t="s">
        <v>222</v>
      </c>
      <c r="H64" s="22" t="s">
        <v>223</v>
      </c>
    </row>
    <row r="65" customFormat="false" ht="15" hidden="false" customHeight="false" outlineLevel="0" collapsed="false">
      <c r="D65" s="52" t="s">
        <v>224</v>
      </c>
      <c r="F65" s="49" t="n">
        <f aca="false">Appraised_Value_Portfolio</f>
        <v>759000000</v>
      </c>
      <c r="G65" s="25" t="n">
        <f aca="false">L60</f>
        <v>738150000</v>
      </c>
      <c r="H65" s="25" t="n">
        <f aca="false">I60</f>
        <v>631630000</v>
      </c>
    </row>
    <row r="66" customFormat="false" ht="15" hidden="false" customHeight="false" outlineLevel="0" collapsed="false">
      <c r="D66" s="23" t="s">
        <v>225</v>
      </c>
      <c r="E66" s="49" t="n">
        <f aca="false">IG_Detach</f>
        <v>436057500</v>
      </c>
      <c r="F66" s="26" t="n">
        <f aca="false">$E66/F$65</f>
        <v>0.57451581027668</v>
      </c>
      <c r="G66" s="26" t="n">
        <f aca="false">$E66/G$65</f>
        <v>0.590743751270067</v>
      </c>
      <c r="H66" s="26" t="n">
        <f aca="false">$E66/H$65</f>
        <v>0.690368570207242</v>
      </c>
    </row>
    <row r="67" customFormat="false" ht="15" hidden="false" customHeight="false" outlineLevel="0" collapsed="false">
      <c r="D67" s="30" t="s">
        <v>226</v>
      </c>
      <c r="E67" s="51" t="n">
        <f aca="false">Mortgage_Total</f>
        <v>548500000</v>
      </c>
      <c r="F67" s="34" t="n">
        <f aca="false">$E67/F$65</f>
        <v>0.72266139657444</v>
      </c>
      <c r="G67" s="34" t="n">
        <f aca="false">$E67/G$65</f>
        <v>0.743073900968638</v>
      </c>
      <c r="H67" s="34" t="n">
        <f aca="false">$E67/H$65</f>
        <v>0.868388138625461</v>
      </c>
    </row>
    <row r="68" customFormat="false" ht="15" hidden="false" customHeight="false" outlineLevel="0" collapsed="false">
      <c r="D68" s="23" t="s">
        <v>227</v>
      </c>
      <c r="E68" s="49" t="n">
        <f aca="false">TotalDebt_Total</f>
        <v>598500000</v>
      </c>
      <c r="F68" s="26" t="n">
        <f aca="false">$E68/F$65</f>
        <v>0.788537549407115</v>
      </c>
      <c r="G68" s="26" t="n">
        <f aca="false">$E68/G$65</f>
        <v>0.810810810810811</v>
      </c>
      <c r="H68" s="26" t="n">
        <f aca="false">$E68/H$65</f>
        <v>0.947548406503808</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&amp;L&amp;7 &amp;K9aa0a8CONFIDENTIAL&amp;R&amp;7 &amp;K9aa0a8&amp;P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2F51"/>
    <pageSetUpPr fitToPage="true"/>
  </sheetPr>
  <dimension ref="B1:P6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1" style="0" width="3"/>
    <col collapsed="false" customWidth="true" hidden="false" outlineLevel="0" max="3" min="3" style="0" width="36"/>
    <col collapsed="false" customWidth="true" hidden="false" outlineLevel="0" max="9" min="4" style="0" width="13"/>
    <col collapsed="false" customWidth="true" hidden="false" outlineLevel="0" max="10" min="10" style="0" width="14"/>
    <col collapsed="false" customWidth="true" hidden="false" outlineLevel="0" max="11" min="11" style="0" width="13"/>
    <col collapsed="false" customWidth="true" hidden="false" outlineLevel="0" max="12" min="12" style="0" width="14"/>
    <col collapsed="false" customWidth="true" hidden="false" outlineLevel="0" max="13" min="13" style="0" width="3"/>
    <col collapsed="false" customWidth="true" hidden="false" outlineLevel="0" max="16" min="14" style="0" width="11"/>
  </cols>
  <sheetData>
    <row r="1" customFormat="false" ht="15" hidden="false" customHeight="false" outlineLevel="0" collapsed="false">
      <c r="B1" s="1" t="s">
        <v>228</v>
      </c>
      <c r="C1" s="4"/>
      <c r="D1" s="4"/>
      <c r="E1" s="4"/>
      <c r="F1" s="4"/>
      <c r="G1" s="4"/>
      <c r="H1" s="4"/>
      <c r="I1" s="4"/>
      <c r="J1" s="4"/>
      <c r="K1" s="4"/>
      <c r="L1" s="4"/>
      <c r="M1" s="4"/>
      <c r="N1" s="4"/>
      <c r="O1" s="4"/>
      <c r="P1" s="4"/>
    </row>
    <row r="2" customFormat="false" ht="15" hidden="false" customHeight="false" outlineLevel="0" collapsed="false">
      <c r="B2" s="19" t="s">
        <v>229</v>
      </c>
    </row>
    <row r="5" customFormat="false" ht="30" hidden="false" customHeight="true" outlineLevel="0" collapsed="false">
      <c r="C5" s="22" t="s">
        <v>230</v>
      </c>
      <c r="D5" s="22" t="s">
        <v>231</v>
      </c>
      <c r="E5" s="22" t="s">
        <v>232</v>
      </c>
      <c r="F5" s="22" t="s">
        <v>233</v>
      </c>
      <c r="G5" s="22" t="s">
        <v>234</v>
      </c>
      <c r="H5" s="22" t="s">
        <v>235</v>
      </c>
      <c r="I5" s="22" t="s">
        <v>236</v>
      </c>
      <c r="J5" s="22" t="s">
        <v>237</v>
      </c>
      <c r="K5" s="22" t="s">
        <v>122</v>
      </c>
      <c r="L5" s="22" t="s">
        <v>238</v>
      </c>
      <c r="N5" s="22" t="s">
        <v>239</v>
      </c>
      <c r="O5" s="22" t="s">
        <v>240</v>
      </c>
      <c r="P5" s="22" t="s">
        <v>241</v>
      </c>
    </row>
    <row r="6" customFormat="false" ht="15" hidden="false" customHeight="false" outlineLevel="0" collapsed="false">
      <c r="C6" s="23" t="s">
        <v>242</v>
      </c>
      <c r="D6" s="28" t="n">
        <v>64160842</v>
      </c>
      <c r="E6" s="28" t="n">
        <v>77855442</v>
      </c>
      <c r="F6" s="28" t="n">
        <v>77694265</v>
      </c>
      <c r="G6" s="28" t="n">
        <v>77751304</v>
      </c>
      <c r="H6" s="28" t="n">
        <v>78001078</v>
      </c>
      <c r="I6" s="28" t="n">
        <v>78208927</v>
      </c>
      <c r="J6" s="28" t="n">
        <v>79311668</v>
      </c>
      <c r="K6" s="28" t="n">
        <v>78141916</v>
      </c>
      <c r="N6" s="25" t="n">
        <f aca="false">F6/Total_Units</f>
        <v>16026.0447607261</v>
      </c>
      <c r="O6" s="25" t="n">
        <f aca="false">K6/Total_Units</f>
        <v>16118.3820132013</v>
      </c>
    </row>
    <row r="7" customFormat="false" ht="15" hidden="false" customHeight="false" outlineLevel="0" collapsed="false">
      <c r="C7" s="23" t="s">
        <v>243</v>
      </c>
      <c r="D7" s="28" t="n">
        <v>-5029951</v>
      </c>
      <c r="E7" s="28" t="n">
        <v>-8249787</v>
      </c>
      <c r="F7" s="28" t="n">
        <v>-7721598</v>
      </c>
      <c r="G7" s="28" t="n">
        <v>-6283631</v>
      </c>
      <c r="H7" s="28" t="n">
        <v>-6466603</v>
      </c>
      <c r="I7" s="28" t="n">
        <v>-6741507</v>
      </c>
      <c r="J7" s="28" t="n">
        <v>-4125641</v>
      </c>
      <c r="K7" s="28" t="n">
        <v>-6756312</v>
      </c>
      <c r="N7" s="25" t="n">
        <f aca="false">F7/Total_Units</f>
        <v>-1592.73886138614</v>
      </c>
      <c r="O7" s="25" t="n">
        <f aca="false">K7/Total_Units</f>
        <v>-1393.62871287129</v>
      </c>
    </row>
    <row r="8" customFormat="false" ht="15" hidden="false" customHeight="false" outlineLevel="0" collapsed="false">
      <c r="C8" s="23" t="s">
        <v>244</v>
      </c>
      <c r="D8" s="28" t="n">
        <v>-1174051</v>
      </c>
      <c r="E8" s="28" t="n">
        <v>-1996580</v>
      </c>
      <c r="F8" s="28" t="n">
        <v>-2172483</v>
      </c>
      <c r="G8" s="28" t="n">
        <v>-1871828</v>
      </c>
      <c r="H8" s="28" t="n">
        <v>-1218808</v>
      </c>
      <c r="I8" s="28" t="n">
        <v>-2286260</v>
      </c>
      <c r="J8" s="28" t="n">
        <v>-1560162</v>
      </c>
      <c r="K8" s="28" t="n">
        <v>-1562838</v>
      </c>
      <c r="N8" s="25" t="n">
        <f aca="false">F8/Total_Units</f>
        <v>-448.119430693069</v>
      </c>
      <c r="O8" s="25" t="n">
        <f aca="false">K8/Total_Units</f>
        <v>-322.367574257426</v>
      </c>
    </row>
    <row r="9" customFormat="false" ht="15" hidden="false" customHeight="false" outlineLevel="0" collapsed="false">
      <c r="C9" s="23" t="s">
        <v>245</v>
      </c>
      <c r="D9" s="28" t="n">
        <v>-3436984</v>
      </c>
      <c r="E9" s="28" t="n">
        <v>-4437193</v>
      </c>
      <c r="F9" s="28" t="n">
        <v>-6045014</v>
      </c>
      <c r="G9" s="28" t="n">
        <v>-7664913</v>
      </c>
      <c r="H9" s="28" t="n">
        <v>-8784748</v>
      </c>
      <c r="I9" s="28" t="n">
        <v>-9476818</v>
      </c>
      <c r="J9" s="28" t="n">
        <v>-4268398</v>
      </c>
      <c r="K9" s="28" t="n">
        <v>-6071490</v>
      </c>
      <c r="N9" s="25" t="n">
        <f aca="false">F9/Total_Units</f>
        <v>-1246.90882838284</v>
      </c>
      <c r="O9" s="25" t="n">
        <f aca="false">K9/Total_Units</f>
        <v>-1252.37004950495</v>
      </c>
    </row>
    <row r="10" customFormat="false" ht="15" hidden="false" customHeight="false" outlineLevel="0" collapsed="false">
      <c r="C10" s="70" t="s">
        <v>246</v>
      </c>
      <c r="D10" s="71" t="n">
        <f aca="false">SUM(D6:D9)</f>
        <v>54519856</v>
      </c>
      <c r="E10" s="71" t="n">
        <f aca="false">SUM(E6:E9)</f>
        <v>63171882</v>
      </c>
      <c r="F10" s="71" t="n">
        <f aca="false">SUM(F6:F9)</f>
        <v>61755170</v>
      </c>
      <c r="G10" s="71" t="n">
        <f aca="false">SUM(G6:G9)</f>
        <v>61930932</v>
      </c>
      <c r="H10" s="71" t="n">
        <f aca="false">SUM(H6:H9)</f>
        <v>61530919</v>
      </c>
      <c r="I10" s="71" t="n">
        <f aca="false">SUM(I6:I9)</f>
        <v>59704342</v>
      </c>
      <c r="J10" s="71" t="n">
        <f aca="false">SUM(J6:J9)</f>
        <v>69357467</v>
      </c>
      <c r="K10" s="71" t="n">
        <f aca="false">SUM(K6:K9)</f>
        <v>63751276</v>
      </c>
      <c r="L10" s="72"/>
      <c r="N10" s="53" t="n">
        <f aca="false">F10/Total_Units</f>
        <v>12738.277640264</v>
      </c>
      <c r="O10" s="53" t="n">
        <f aca="false">K10/Total_Units</f>
        <v>13150.0156765677</v>
      </c>
    </row>
    <row r="11" customFormat="false" ht="15" hidden="false" customHeight="false" outlineLevel="0" collapsed="false">
      <c r="C11" s="23" t="s">
        <v>247</v>
      </c>
      <c r="D11" s="28" t="n">
        <v>241296</v>
      </c>
      <c r="E11" s="28" t="n">
        <v>483822</v>
      </c>
      <c r="F11" s="28" t="n">
        <v>702174</v>
      </c>
      <c r="G11" s="28" t="n">
        <v>819086</v>
      </c>
      <c r="H11" s="28" t="n">
        <v>885830</v>
      </c>
      <c r="I11" s="28" t="n">
        <v>838392</v>
      </c>
      <c r="J11" s="28" t="n">
        <v>849273</v>
      </c>
      <c r="K11" s="28" t="n">
        <v>885830</v>
      </c>
      <c r="N11" s="25" t="n">
        <f aca="false">F11/Total_Units</f>
        <v>144.837871287129</v>
      </c>
      <c r="O11" s="25" t="n">
        <f aca="false">K11/Total_Units</f>
        <v>182.720709570957</v>
      </c>
    </row>
    <row r="12" customFormat="false" ht="15" hidden="false" customHeight="false" outlineLevel="0" collapsed="false">
      <c r="C12" s="23" t="s">
        <v>248</v>
      </c>
      <c r="D12" s="28" t="n">
        <v>260140</v>
      </c>
      <c r="E12" s="28" t="n">
        <v>335582</v>
      </c>
      <c r="F12" s="28" t="n">
        <v>314752</v>
      </c>
      <c r="G12" s="28" t="n">
        <v>303813</v>
      </c>
      <c r="H12" s="28" t="n">
        <v>297875</v>
      </c>
      <c r="I12" s="28" t="n">
        <v>276657</v>
      </c>
      <c r="J12" s="28" t="n">
        <v>312499</v>
      </c>
      <c r="K12" s="28" t="n">
        <v>297875</v>
      </c>
      <c r="N12" s="25" t="n">
        <f aca="false">F12/Total_Units</f>
        <v>64.9240924092409</v>
      </c>
      <c r="O12" s="25" t="n">
        <f aca="false">K12/Total_Units</f>
        <v>61.4428630363036</v>
      </c>
    </row>
    <row r="13" customFormat="false" ht="15" hidden="false" customHeight="false" outlineLevel="0" collapsed="false">
      <c r="C13" s="23" t="s">
        <v>249</v>
      </c>
      <c r="D13" s="28" t="n">
        <v>656140</v>
      </c>
      <c r="E13" s="28" t="n">
        <v>773762</v>
      </c>
      <c r="F13" s="28" t="n">
        <v>803190</v>
      </c>
      <c r="G13" s="28" t="n">
        <v>834618</v>
      </c>
      <c r="H13" s="28" t="n">
        <v>811203</v>
      </c>
      <c r="I13" s="28" t="n">
        <v>910498</v>
      </c>
      <c r="J13" s="28" t="n">
        <v>852961</v>
      </c>
      <c r="K13" s="28" t="n">
        <v>811203</v>
      </c>
      <c r="N13" s="25" t="n">
        <f aca="false">F13/Total_Units</f>
        <v>165.674504950495</v>
      </c>
      <c r="O13" s="25" t="n">
        <f aca="false">K13/Total_Units</f>
        <v>167.327351485149</v>
      </c>
    </row>
    <row r="14" customFormat="false" ht="15" hidden="false" customHeight="false" outlineLevel="0" collapsed="false">
      <c r="C14" s="23" t="s">
        <v>250</v>
      </c>
      <c r="D14" s="28" t="n">
        <v>3269656</v>
      </c>
      <c r="E14" s="28" t="n">
        <v>4834054</v>
      </c>
      <c r="F14" s="28" t="n">
        <v>5496773</v>
      </c>
      <c r="G14" s="28" t="n">
        <v>6000148</v>
      </c>
      <c r="H14" s="28" t="n">
        <v>6448820</v>
      </c>
      <c r="I14" s="28" t="n">
        <v>6492628</v>
      </c>
      <c r="J14" s="28" t="n">
        <v>8915893</v>
      </c>
      <c r="K14" s="28" t="n">
        <v>6448820</v>
      </c>
      <c r="N14" s="25" t="n">
        <f aca="false">F14/Total_Units</f>
        <v>1133.82281353135</v>
      </c>
      <c r="O14" s="25" t="n">
        <f aca="false">K14/Total_Units</f>
        <v>1330.20214521452</v>
      </c>
    </row>
    <row r="15" customFormat="false" ht="15" hidden="false" customHeight="false" outlineLevel="0" collapsed="false">
      <c r="C15" s="70" t="s">
        <v>251</v>
      </c>
      <c r="D15" s="71" t="n">
        <f aca="false">SUM(D11:D14)</f>
        <v>4427232</v>
      </c>
      <c r="E15" s="71" t="n">
        <f aca="false">SUM(E11:E14)</f>
        <v>6427220</v>
      </c>
      <c r="F15" s="71" t="n">
        <f aca="false">SUM(F11:F14)</f>
        <v>7316889</v>
      </c>
      <c r="G15" s="71" t="n">
        <f aca="false">SUM(G11:G14)</f>
        <v>7957665</v>
      </c>
      <c r="H15" s="71" t="n">
        <f aca="false">SUM(H11:H14)</f>
        <v>8443728</v>
      </c>
      <c r="I15" s="71" t="n">
        <f aca="false">SUM(I11:I14)</f>
        <v>8518175</v>
      </c>
      <c r="J15" s="71" t="n">
        <f aca="false">SUM(J11:J14)</f>
        <v>10930626</v>
      </c>
      <c r="K15" s="71" t="n">
        <f aca="false">SUM(K11:K14)</f>
        <v>8443728</v>
      </c>
      <c r="L15" s="72"/>
      <c r="N15" s="53" t="n">
        <f aca="false">F15/Total_Units</f>
        <v>1509.25928217822</v>
      </c>
      <c r="O15" s="53" t="n">
        <f aca="false">K15/Total_Units</f>
        <v>1741.69306930693</v>
      </c>
    </row>
    <row r="16" customFormat="false" ht="15" hidden="false" customHeight="false" outlineLevel="0" collapsed="false">
      <c r="C16" s="23" t="s">
        <v>252</v>
      </c>
      <c r="D16" s="28" t="n">
        <v>3706775</v>
      </c>
      <c r="E16" s="28" t="n">
        <v>5022662</v>
      </c>
      <c r="F16" s="28" t="n">
        <v>5209454</v>
      </c>
      <c r="G16" s="28" t="n">
        <v>5340377</v>
      </c>
      <c r="H16" s="28" t="n">
        <v>5404518</v>
      </c>
      <c r="I16" s="28" t="n">
        <v>5251867</v>
      </c>
      <c r="J16" s="28" t="n">
        <v>6046288</v>
      </c>
      <c r="K16" s="28" t="n">
        <v>5404518</v>
      </c>
      <c r="N16" s="25" t="n">
        <f aca="false">F16/Total_Units</f>
        <v>1074.55734323432</v>
      </c>
      <c r="O16" s="25" t="n">
        <f aca="false">K16/Total_Units</f>
        <v>1114.79331683168</v>
      </c>
    </row>
    <row r="17" customFormat="false" ht="15" hidden="false" customHeight="false" outlineLevel="0" collapsed="false">
      <c r="C17" s="23" t="s">
        <v>253</v>
      </c>
      <c r="D17" s="28" t="n">
        <v>529974</v>
      </c>
      <c r="E17" s="28" t="n">
        <v>602735</v>
      </c>
      <c r="F17" s="28" t="n">
        <v>678471</v>
      </c>
      <c r="G17" s="28" t="n">
        <v>748064</v>
      </c>
      <c r="H17" s="28" t="n">
        <v>787778</v>
      </c>
      <c r="I17" s="28" t="n">
        <v>771498</v>
      </c>
      <c r="J17" s="28" t="n">
        <v>765512</v>
      </c>
      <c r="K17" s="28" t="n">
        <v>787778</v>
      </c>
      <c r="N17" s="25" t="n">
        <f aca="false">F17/Total_Units</f>
        <v>139.948638613861</v>
      </c>
      <c r="O17" s="25" t="n">
        <f aca="false">K17/Total_Units</f>
        <v>162.495462046205</v>
      </c>
    </row>
    <row r="18" customFormat="false" ht="15" hidden="false" customHeight="false" outlineLevel="0" collapsed="false">
      <c r="C18" s="70" t="s">
        <v>254</v>
      </c>
      <c r="D18" s="71" t="n">
        <f aca="false">D15+D16+D17</f>
        <v>8663981</v>
      </c>
      <c r="E18" s="71" t="n">
        <f aca="false">E15+E16+E17</f>
        <v>12052617</v>
      </c>
      <c r="F18" s="71" t="n">
        <f aca="false">F15+F16+F17</f>
        <v>13204814</v>
      </c>
      <c r="G18" s="71" t="n">
        <f aca="false">G15+G16+G17</f>
        <v>14046106</v>
      </c>
      <c r="H18" s="71" t="n">
        <f aca="false">H15+H16+H17</f>
        <v>14636024</v>
      </c>
      <c r="I18" s="71" t="n">
        <f aca="false">I15+I16+I17</f>
        <v>14541540</v>
      </c>
      <c r="J18" s="71" t="n">
        <f aca="false">J15+J16+J17</f>
        <v>17742426</v>
      </c>
      <c r="K18" s="71" t="n">
        <f aca="false">K15+K16+K17</f>
        <v>14636024</v>
      </c>
      <c r="L18" s="72"/>
      <c r="N18" s="53" t="n">
        <f aca="false">F18/Total_Units</f>
        <v>2723.7652640264</v>
      </c>
      <c r="O18" s="53" t="n">
        <f aca="false">K18/Total_Units</f>
        <v>3018.98184818482</v>
      </c>
    </row>
    <row r="19" customFormat="false" ht="15" hidden="false" customHeight="false" outlineLevel="0" collapsed="false">
      <c r="C19" s="73" t="s">
        <v>255</v>
      </c>
      <c r="D19" s="74" t="n">
        <f aca="false">D10+D18</f>
        <v>63183837</v>
      </c>
      <c r="E19" s="74" t="n">
        <f aca="false">E10+E18</f>
        <v>75224499</v>
      </c>
      <c r="F19" s="74" t="n">
        <f aca="false">F10+F18</f>
        <v>74959984</v>
      </c>
      <c r="G19" s="74" t="n">
        <f aca="false">G10+G18</f>
        <v>75977038</v>
      </c>
      <c r="H19" s="74" t="n">
        <f aca="false">H10+H18</f>
        <v>76166943</v>
      </c>
      <c r="I19" s="74" t="n">
        <f aca="false">I10+I18</f>
        <v>74245882</v>
      </c>
      <c r="J19" s="74" t="n">
        <f aca="false">J10+J18</f>
        <v>87099893</v>
      </c>
      <c r="K19" s="74" t="n">
        <f aca="false">K10+K18</f>
        <v>78387300</v>
      </c>
      <c r="L19" s="75" t="n">
        <f aca="false">SSP_EGI_Total</f>
        <v>74959984.3</v>
      </c>
      <c r="N19" s="76" t="n">
        <f aca="false">F19/Total_Units</f>
        <v>15462.0429042904</v>
      </c>
      <c r="O19" s="76" t="n">
        <f aca="false">K19/Total_Units</f>
        <v>16168.9975247525</v>
      </c>
      <c r="P19" s="76" t="n">
        <f aca="false">L19/Total_Units</f>
        <v>15462.0429661716</v>
      </c>
    </row>
    <row r="20" customFormat="false" ht="15" hidden="false" customHeight="false" outlineLevel="0" collapsed="false">
      <c r="C20" s="23" t="s">
        <v>256</v>
      </c>
      <c r="D20" s="28" t="n">
        <v>-5707781</v>
      </c>
      <c r="E20" s="28" t="n">
        <v>-7476833</v>
      </c>
      <c r="F20" s="28" t="n">
        <v>-7722102</v>
      </c>
      <c r="G20" s="28" t="n">
        <v>-7826581</v>
      </c>
      <c r="H20" s="28" t="n">
        <v>-8229296</v>
      </c>
      <c r="I20" s="28" t="n">
        <v>-8272228</v>
      </c>
      <c r="J20" s="28" t="n">
        <v>-8114390</v>
      </c>
      <c r="K20" s="28" t="n">
        <v>-7722102</v>
      </c>
      <c r="N20" s="25" t="n">
        <f aca="false">F20/Total_Units</f>
        <v>-1592.84282178218</v>
      </c>
      <c r="O20" s="25" t="n">
        <f aca="false">K20/Total_Units</f>
        <v>-1592.84282178218</v>
      </c>
    </row>
    <row r="21" customFormat="false" ht="15" hidden="false" customHeight="false" outlineLevel="0" collapsed="false">
      <c r="C21" s="23" t="s">
        <v>257</v>
      </c>
      <c r="D21" s="28" t="n">
        <v>-3052400</v>
      </c>
      <c r="E21" s="28" t="n">
        <v>-4091013</v>
      </c>
      <c r="F21" s="28" t="n">
        <v>-3626220</v>
      </c>
      <c r="G21" s="28" t="n">
        <v>-3528403</v>
      </c>
      <c r="H21" s="28" t="n">
        <v>-3507675</v>
      </c>
      <c r="I21" s="28" t="n">
        <v>-3490092</v>
      </c>
      <c r="J21" s="28" t="n">
        <v>-3628214</v>
      </c>
      <c r="K21" s="28" t="n">
        <v>-3626220</v>
      </c>
      <c r="N21" s="25" t="n">
        <f aca="false">F21/Total_Units</f>
        <v>-747.982673267327</v>
      </c>
      <c r="O21" s="25" t="n">
        <f aca="false">K21/Total_Units</f>
        <v>-747.982673267327</v>
      </c>
    </row>
    <row r="22" customFormat="false" ht="15" hidden="false" customHeight="false" outlineLevel="0" collapsed="false">
      <c r="C22" s="23" t="s">
        <v>258</v>
      </c>
      <c r="D22" s="28" t="n">
        <v>-1263677</v>
      </c>
      <c r="E22" s="28" t="n">
        <v>-1504490</v>
      </c>
      <c r="F22" s="28" t="n">
        <v>-1499200</v>
      </c>
      <c r="G22" s="28" t="n">
        <v>-1519541</v>
      </c>
      <c r="H22" s="28" t="n">
        <v>-1523339</v>
      </c>
      <c r="I22" s="28" t="n">
        <v>-1484918</v>
      </c>
      <c r="J22" s="28" t="n">
        <v>-1741998</v>
      </c>
      <c r="K22" s="28" t="n">
        <v>-1567746</v>
      </c>
      <c r="N22" s="25" t="n">
        <f aca="false">F22/Total_Units</f>
        <v>-309.240924092409</v>
      </c>
      <c r="O22" s="25" t="n">
        <f aca="false">K22/Total_Units</f>
        <v>-323.37995049505</v>
      </c>
    </row>
    <row r="23" customFormat="false" ht="15" hidden="false" customHeight="false" outlineLevel="0" collapsed="false">
      <c r="C23" s="23" t="s">
        <v>259</v>
      </c>
      <c r="D23" s="28" t="n">
        <v>-5432776</v>
      </c>
      <c r="E23" s="28" t="n">
        <v>-6344414</v>
      </c>
      <c r="F23" s="28" t="n">
        <v>-6280912</v>
      </c>
      <c r="G23" s="28" t="n">
        <v>-6274448</v>
      </c>
      <c r="H23" s="28" t="n">
        <v>-6083968</v>
      </c>
      <c r="I23" s="28" t="n">
        <v>-5413879</v>
      </c>
      <c r="J23" s="28" t="n">
        <v>-6339553</v>
      </c>
      <c r="K23" s="28" t="n">
        <v>-6280912</v>
      </c>
      <c r="N23" s="25" t="n">
        <f aca="false">F23/Total_Units</f>
        <v>-1295.56765676568</v>
      </c>
      <c r="O23" s="25" t="n">
        <f aca="false">K23/Total_Units</f>
        <v>-1295.56765676568</v>
      </c>
    </row>
    <row r="24" customFormat="false" ht="15" hidden="false" customHeight="false" outlineLevel="0" collapsed="false">
      <c r="C24" s="23" t="s">
        <v>260</v>
      </c>
      <c r="D24" s="28" t="n">
        <v>-3982115</v>
      </c>
      <c r="E24" s="28" t="n">
        <v>-5914285</v>
      </c>
      <c r="F24" s="28" t="n">
        <v>-6704854</v>
      </c>
      <c r="G24" s="28" t="n">
        <v>-7057563</v>
      </c>
      <c r="H24" s="28" t="n">
        <v>-7164668</v>
      </c>
      <c r="I24" s="28" t="n">
        <v>-7203447</v>
      </c>
      <c r="J24" s="28" t="n">
        <v>-7140025</v>
      </c>
      <c r="K24" s="28" t="n">
        <v>-6704854</v>
      </c>
      <c r="N24" s="25" t="n">
        <f aca="false">F24/Total_Units</f>
        <v>-1383.01443894389</v>
      </c>
      <c r="O24" s="25" t="n">
        <f aca="false">K24/Total_Units</f>
        <v>-1383.01443894389</v>
      </c>
    </row>
    <row r="25" customFormat="false" ht="15" hidden="false" customHeight="false" outlineLevel="0" collapsed="false">
      <c r="C25" s="70" t="s">
        <v>261</v>
      </c>
      <c r="D25" s="71" t="n">
        <f aca="false">SUM(D20:D24)</f>
        <v>-19438749</v>
      </c>
      <c r="E25" s="71" t="n">
        <f aca="false">SUM(E20:E24)</f>
        <v>-25331035</v>
      </c>
      <c r="F25" s="71" t="n">
        <f aca="false">SUM(F20:F24)</f>
        <v>-25833288</v>
      </c>
      <c r="G25" s="71" t="n">
        <f aca="false">SUM(G20:G24)</f>
        <v>-26206536</v>
      </c>
      <c r="H25" s="71" t="n">
        <f aca="false">SUM(H20:H24)</f>
        <v>-26508946</v>
      </c>
      <c r="I25" s="71" t="n">
        <f aca="false">SUM(I20:I24)</f>
        <v>-25864564</v>
      </c>
      <c r="J25" s="71" t="n">
        <f aca="false">SUM(J20:J24)</f>
        <v>-26964180</v>
      </c>
      <c r="K25" s="71" t="n">
        <f aca="false">SUM(K20:K24)</f>
        <v>-25901834</v>
      </c>
      <c r="L25" s="72"/>
      <c r="N25" s="53" t="n">
        <f aca="false">F25/Total_Units</f>
        <v>-5328.64851485149</v>
      </c>
      <c r="O25" s="53" t="n">
        <f aca="false">K25/Total_Units</f>
        <v>-5342.78754125413</v>
      </c>
    </row>
    <row r="26" customFormat="false" ht="15" hidden="false" customHeight="false" outlineLevel="0" collapsed="false">
      <c r="C26" s="23" t="s">
        <v>262</v>
      </c>
      <c r="D26" s="28" t="n">
        <v>-7142356</v>
      </c>
      <c r="E26" s="28" t="n">
        <v>-8499948</v>
      </c>
      <c r="F26" s="28" t="n">
        <v>-8485498</v>
      </c>
      <c r="G26" s="28" t="n">
        <v>-7715710</v>
      </c>
      <c r="H26" s="28" t="n">
        <v>-6393539</v>
      </c>
      <c r="I26" s="28" t="n">
        <v>-2033577</v>
      </c>
      <c r="J26" s="28" t="n">
        <v>-8623676</v>
      </c>
      <c r="K26" s="28" t="n">
        <v>-8623676</v>
      </c>
      <c r="N26" s="25" t="n">
        <f aca="false">F26/Total_Units</f>
        <v>-1750.30899339934</v>
      </c>
      <c r="O26" s="25" t="n">
        <f aca="false">K26/Total_Units</f>
        <v>-1778.81105610561</v>
      </c>
    </row>
    <row r="27" customFormat="false" ht="15" hidden="false" customHeight="false" outlineLevel="0" collapsed="false">
      <c r="C27" s="23" t="s">
        <v>263</v>
      </c>
      <c r="D27" s="28" t="n">
        <v>-3245072</v>
      </c>
      <c r="E27" s="28" t="n">
        <v>-4131385</v>
      </c>
      <c r="F27" s="28" t="n">
        <v>-3083815</v>
      </c>
      <c r="G27" s="28" t="n">
        <v>-2828756</v>
      </c>
      <c r="H27" s="28" t="n">
        <v>-2827383</v>
      </c>
      <c r="I27" s="28" t="n">
        <v>-2821134</v>
      </c>
      <c r="J27" s="28" t="n">
        <v>-2519826</v>
      </c>
      <c r="K27" s="28" t="n">
        <v>-2652374</v>
      </c>
      <c r="N27" s="25" t="n">
        <f aca="false">F27/Total_Units</f>
        <v>-636.10045379538</v>
      </c>
      <c r="O27" s="25" t="n">
        <f aca="false">K27/Total_Units</f>
        <v>-547.106848184818</v>
      </c>
    </row>
    <row r="28" customFormat="false" ht="15" hidden="false" customHeight="false" outlineLevel="0" collapsed="false">
      <c r="C28" s="70" t="s">
        <v>264</v>
      </c>
      <c r="D28" s="71" t="n">
        <f aca="false">D26+D27</f>
        <v>-10387428</v>
      </c>
      <c r="E28" s="71" t="n">
        <f aca="false">E26+E27</f>
        <v>-12631333</v>
      </c>
      <c r="F28" s="71" t="n">
        <f aca="false">F26+F27</f>
        <v>-11569313</v>
      </c>
      <c r="G28" s="71" t="n">
        <f aca="false">G26+G27</f>
        <v>-10544466</v>
      </c>
      <c r="H28" s="71" t="n">
        <f aca="false">H26+H27</f>
        <v>-9220922</v>
      </c>
      <c r="I28" s="71" t="n">
        <f aca="false">I26+I27</f>
        <v>-4854711</v>
      </c>
      <c r="J28" s="71" t="n">
        <f aca="false">J26+J27</f>
        <v>-11143502</v>
      </c>
      <c r="K28" s="71" t="n">
        <f aca="false">K26+K27</f>
        <v>-11276050</v>
      </c>
      <c r="L28" s="72"/>
      <c r="N28" s="53" t="n">
        <f aca="false">F28/Total_Units</f>
        <v>-2386.40944719472</v>
      </c>
      <c r="O28" s="53" t="n">
        <f aca="false">K28/Total_Units</f>
        <v>-2325.91790429043</v>
      </c>
    </row>
    <row r="29" customFormat="false" ht="15" hidden="false" customHeight="false" outlineLevel="0" collapsed="false">
      <c r="C29" s="70" t="s">
        <v>265</v>
      </c>
      <c r="D29" s="71" t="n">
        <f aca="false">D25+D28</f>
        <v>-29826177</v>
      </c>
      <c r="E29" s="71" t="n">
        <f aca="false">E25+E28</f>
        <v>-37962368</v>
      </c>
      <c r="F29" s="71" t="n">
        <f aca="false">F25+F28</f>
        <v>-37402601</v>
      </c>
      <c r="G29" s="71" t="n">
        <f aca="false">G25+G28</f>
        <v>-36751002</v>
      </c>
      <c r="H29" s="71" t="n">
        <f aca="false">H25+H28</f>
        <v>-35729868</v>
      </c>
      <c r="I29" s="71" t="n">
        <f aca="false">I25+I28</f>
        <v>-30719275</v>
      </c>
      <c r="J29" s="71" t="n">
        <f aca="false">J25+J28</f>
        <v>-38107682</v>
      </c>
      <c r="K29" s="71" t="n">
        <f aca="false">K25+K28</f>
        <v>-37177884</v>
      </c>
      <c r="L29" s="75" t="n">
        <f aca="false">SSP_Opex_Total</f>
        <v>-38440533.8224063</v>
      </c>
      <c r="N29" s="53" t="n">
        <f aca="false">F29/Total_Units</f>
        <v>-7715.05796204621</v>
      </c>
      <c r="O29" s="53" t="n">
        <f aca="false">K29/Total_Units</f>
        <v>-7668.70544554455</v>
      </c>
      <c r="P29" s="53" t="n">
        <f aca="false">L29/Total_Units</f>
        <v>-7929.15301617292</v>
      </c>
    </row>
    <row r="30" customFormat="false" ht="15" hidden="false" customHeight="false" outlineLevel="0" collapsed="false">
      <c r="C30" s="73" t="s">
        <v>266</v>
      </c>
      <c r="D30" s="74" t="n">
        <f aca="false">D19+D29</f>
        <v>33357660</v>
      </c>
      <c r="E30" s="74" t="n">
        <f aca="false">E19+E29</f>
        <v>37262131</v>
      </c>
      <c r="F30" s="74" t="n">
        <f aca="false">F19+F29</f>
        <v>37557383</v>
      </c>
      <c r="G30" s="74" t="n">
        <f aca="false">G19+G29</f>
        <v>39226036</v>
      </c>
      <c r="H30" s="74" t="n">
        <f aca="false">H19+H29</f>
        <v>40437075</v>
      </c>
      <c r="I30" s="74" t="n">
        <f aca="false">I19+I29</f>
        <v>43526607</v>
      </c>
      <c r="J30" s="74" t="n">
        <f aca="false">J19+J29</f>
        <v>48992211</v>
      </c>
      <c r="K30" s="74" t="n">
        <f aca="false">K19+K29</f>
        <v>41209416</v>
      </c>
      <c r="L30" s="53" t="n">
        <f aca="false">L19+L29</f>
        <v>36519450.4775937</v>
      </c>
      <c r="N30" s="76" t="n">
        <f aca="false">F30/Total_Units</f>
        <v>7746.98494224423</v>
      </c>
      <c r="O30" s="76" t="n">
        <f aca="false">K30/Total_Units</f>
        <v>8500.29207920792</v>
      </c>
      <c r="P30" s="76" t="n">
        <f aca="false">L30/Total_Units</f>
        <v>7532.8899499987</v>
      </c>
    </row>
    <row r="31" customFormat="false" ht="15" hidden="false" customHeight="false" outlineLevel="0" collapsed="false">
      <c r="C31" s="23" t="s">
        <v>267</v>
      </c>
      <c r="D31" s="28" t="n">
        <v>0</v>
      </c>
      <c r="E31" s="28" t="n">
        <v>0</v>
      </c>
      <c r="F31" s="28" t="n">
        <v>0</v>
      </c>
      <c r="G31" s="28" t="n">
        <v>0</v>
      </c>
      <c r="H31" s="28" t="n">
        <v>0</v>
      </c>
      <c r="I31" s="28" t="n">
        <v>0</v>
      </c>
      <c r="J31" s="28" t="n">
        <v>0</v>
      </c>
      <c r="K31" s="28" t="n">
        <v>-1260480</v>
      </c>
      <c r="L31" s="75" t="n">
        <f aca="false">SSP_Res_Total</f>
        <v>-1454400</v>
      </c>
      <c r="N31" s="25" t="n">
        <f aca="false">F31/Total_Units</f>
        <v>0</v>
      </c>
      <c r="O31" s="25" t="n">
        <f aca="false">K31/Total_Units</f>
        <v>-260</v>
      </c>
      <c r="P31" s="25" t="n">
        <f aca="false">L31/Total_Units</f>
        <v>-300</v>
      </c>
    </row>
    <row r="32" customFormat="false" ht="15" hidden="false" customHeight="false" outlineLevel="0" collapsed="false">
      <c r="C32" s="73" t="s">
        <v>268</v>
      </c>
      <c r="D32" s="74" t="n">
        <f aca="false">D30+D31</f>
        <v>33357660</v>
      </c>
      <c r="E32" s="74" t="n">
        <f aca="false">E30+E31</f>
        <v>37262131</v>
      </c>
      <c r="F32" s="74" t="n">
        <f aca="false">F30+F31</f>
        <v>37557383</v>
      </c>
      <c r="G32" s="74" t="n">
        <f aca="false">G30+G31</f>
        <v>39226036</v>
      </c>
      <c r="H32" s="74" t="n">
        <f aca="false">H30+H31</f>
        <v>40437075</v>
      </c>
      <c r="I32" s="74" t="n">
        <f aca="false">I30+I31</f>
        <v>43526607</v>
      </c>
      <c r="J32" s="74" t="n">
        <f aca="false">J30+J31</f>
        <v>48992211</v>
      </c>
      <c r="K32" s="74" t="n">
        <f aca="false">K30+K31</f>
        <v>39948936</v>
      </c>
      <c r="L32" s="53" t="n">
        <f aca="false">L30+L31</f>
        <v>35065050.4775937</v>
      </c>
      <c r="N32" s="76" t="n">
        <f aca="false">F32/Total_Units</f>
        <v>7746.98494224423</v>
      </c>
      <c r="O32" s="76" t="n">
        <f aca="false">K32/Total_Units</f>
        <v>8240.29207920792</v>
      </c>
      <c r="P32" s="76" t="n">
        <f aca="false">L32/Total_Units</f>
        <v>7232.8899499987</v>
      </c>
    </row>
    <row r="34" customFormat="false" ht="15" hidden="false" customHeight="false" outlineLevel="0" collapsed="false">
      <c r="C34" s="21" t="s">
        <v>269</v>
      </c>
    </row>
    <row r="35" customFormat="false" ht="15" hidden="false" customHeight="false" outlineLevel="0" collapsed="false">
      <c r="C35" s="23" t="s">
        <v>270</v>
      </c>
      <c r="D35" s="26" t="n">
        <f aca="false">1+D7/D6</f>
        <v>0.921604036929565</v>
      </c>
      <c r="E35" s="26" t="n">
        <f aca="false">1+E7/E6</f>
        <v>0.894037118176017</v>
      </c>
      <c r="F35" s="26" t="n">
        <f aca="false">1+F7/F6</f>
        <v>0.900615598847611</v>
      </c>
      <c r="G35" s="26" t="n">
        <f aca="false">1+G7/G6</f>
        <v>0.919182950294956</v>
      </c>
      <c r="H35" s="26" t="n">
        <f aca="false">1+H7/H6</f>
        <v>0.917095979109417</v>
      </c>
      <c r="I35" s="26" t="n">
        <f aca="false">1+I7/I6</f>
        <v>0.913801310686694</v>
      </c>
      <c r="J35" s="26" t="n">
        <f aca="false">1+J7/J6</f>
        <v>0.947981916103441</v>
      </c>
      <c r="K35" s="26" t="n">
        <f aca="false">1+K7/K6</f>
        <v>0.913537927582938</v>
      </c>
    </row>
    <row r="36" customFormat="false" ht="15" hidden="false" customHeight="false" outlineLevel="0" collapsed="false">
      <c r="C36" s="30" t="s">
        <v>271</v>
      </c>
      <c r="D36" s="34" t="n">
        <f aca="false">-D8/D6</f>
        <v>0.0182985597352354</v>
      </c>
      <c r="E36" s="34" t="n">
        <f aca="false">-E8/E6</f>
        <v>0.0256447070199666</v>
      </c>
      <c r="F36" s="34" t="n">
        <f aca="false">-F8/F6</f>
        <v>0.0279619480279529</v>
      </c>
      <c r="G36" s="34" t="n">
        <f aca="false">-G8/G6</f>
        <v>0.0240745544280518</v>
      </c>
      <c r="H36" s="34" t="n">
        <f aca="false">-H8/H6</f>
        <v>0.0156255276369386</v>
      </c>
      <c r="I36" s="34" t="n">
        <f aca="false">-I8/I6</f>
        <v>0.0292327242899011</v>
      </c>
      <c r="J36" s="34" t="n">
        <f aca="false">-J8/J6</f>
        <v>0.0196712796407207</v>
      </c>
      <c r="K36" s="34" t="n">
        <f aca="false">-K8/K6</f>
        <v>0.0199999959048867</v>
      </c>
      <c r="L36" s="11"/>
    </row>
    <row r="37" customFormat="false" ht="15" hidden="false" customHeight="false" outlineLevel="0" collapsed="false">
      <c r="C37" s="23" t="s">
        <v>272</v>
      </c>
      <c r="D37" s="26" t="n">
        <f aca="false">-D9/D6</f>
        <v>0.0535682496186693</v>
      </c>
      <c r="E37" s="26" t="n">
        <f aca="false">-E9/E6</f>
        <v>0.0569927147802976</v>
      </c>
      <c r="F37" s="26" t="n">
        <f aca="false">-F9/F6</f>
        <v>0.0778051507405341</v>
      </c>
      <c r="G37" s="26" t="n">
        <f aca="false">-G9/G6</f>
        <v>0.0985824366366897</v>
      </c>
      <c r="H37" s="26" t="n">
        <f aca="false">-H9/H6</f>
        <v>0.112623417845584</v>
      </c>
      <c r="I37" s="26" t="n">
        <f aca="false">-I9/I6</f>
        <v>0.121173098308841</v>
      </c>
      <c r="J37" s="26" t="n">
        <f aca="false">-J9/J6</f>
        <v>0.053818033432357</v>
      </c>
      <c r="K37" s="26" t="n">
        <f aca="false">-K9/K6</f>
        <v>0.0776982484023043</v>
      </c>
    </row>
    <row r="38" customFormat="false" ht="15" hidden="false" customHeight="false" outlineLevel="0" collapsed="false">
      <c r="C38" s="30" t="s">
        <v>273</v>
      </c>
      <c r="D38" s="34" t="n">
        <f aca="false">D18/D19</f>
        <v>0.137123375397414</v>
      </c>
      <c r="E38" s="34" t="n">
        <f aca="false">E18/E19</f>
        <v>0.160221964389553</v>
      </c>
      <c r="F38" s="34" t="n">
        <f aca="false">F18/F19</f>
        <v>0.17615817527389</v>
      </c>
      <c r="G38" s="34" t="n">
        <f aca="false">G18/G19</f>
        <v>0.184873040194065</v>
      </c>
      <c r="H38" s="34" t="n">
        <f aca="false">H18/H19</f>
        <v>0.192157167184719</v>
      </c>
      <c r="I38" s="34" t="n">
        <f aca="false">I18/I19</f>
        <v>0.195856519018792</v>
      </c>
      <c r="J38" s="34" t="n">
        <f aca="false">J18/J19</f>
        <v>0.203702041287238</v>
      </c>
      <c r="K38" s="34" t="n">
        <f aca="false">K18/K19</f>
        <v>0.186714225391103</v>
      </c>
      <c r="L38" s="11"/>
    </row>
    <row r="39" customFormat="false" ht="15" hidden="false" customHeight="false" outlineLevel="0" collapsed="false">
      <c r="C39" s="23" t="s">
        <v>274</v>
      </c>
      <c r="D39" s="26" t="n">
        <f aca="false">-D29/D19</f>
        <v>0.472053905178313</v>
      </c>
      <c r="E39" s="26" t="n">
        <f aca="false">-E29/E19</f>
        <v>0.504654314813051</v>
      </c>
      <c r="F39" s="26" t="n">
        <f aca="false">-F29/F19</f>
        <v>0.498967569149961</v>
      </c>
      <c r="G39" s="26" t="n">
        <f aca="false">-G29/G19</f>
        <v>0.48371196044784</v>
      </c>
      <c r="H39" s="26" t="n">
        <f aca="false">-H29/H19</f>
        <v>0.46909940970061</v>
      </c>
      <c r="I39" s="26" t="n">
        <f aca="false">-I29/I19</f>
        <v>0.413750556562854</v>
      </c>
      <c r="J39" s="26" t="n">
        <f aca="false">-J29/J19</f>
        <v>0.437516978350364</v>
      </c>
      <c r="K39" s="26" t="n">
        <f aca="false">-K29/K19</f>
        <v>0.474284533336395</v>
      </c>
      <c r="L39" s="26" t="n">
        <f aca="false">-L29/L19</f>
        <v>0.512814059146038</v>
      </c>
    </row>
    <row r="40" customFormat="false" ht="15" hidden="false" customHeight="false" outlineLevel="0" collapsed="false">
      <c r="C40" s="30" t="s">
        <v>199</v>
      </c>
      <c r="D40" s="34" t="n">
        <f aca="false">D30/D19</f>
        <v>0.527946094821687</v>
      </c>
      <c r="E40" s="34" t="n">
        <f aca="false">E30/E19</f>
        <v>0.49534568518695</v>
      </c>
      <c r="F40" s="34" t="n">
        <f aca="false">F30/F19</f>
        <v>0.501032430850039</v>
      </c>
      <c r="G40" s="34" t="n">
        <f aca="false">G30/G19</f>
        <v>0.516288039552161</v>
      </c>
      <c r="H40" s="34" t="n">
        <f aca="false">H30/H19</f>
        <v>0.53090059029939</v>
      </c>
      <c r="I40" s="34" t="n">
        <f aca="false">I30/I19</f>
        <v>0.586249443437146</v>
      </c>
      <c r="J40" s="34" t="n">
        <f aca="false">J30/J19</f>
        <v>0.562483021649636</v>
      </c>
      <c r="K40" s="34" t="n">
        <f aca="false">K30/K19</f>
        <v>0.525715466663605</v>
      </c>
      <c r="L40" s="34" t="n">
        <f aca="false">L30/L19</f>
        <v>0.487185940853962</v>
      </c>
    </row>
    <row r="41" customFormat="false" ht="15" hidden="false" customHeight="false" outlineLevel="0" collapsed="false">
      <c r="C41" s="23" t="s">
        <v>275</v>
      </c>
      <c r="D41" s="14" t="n">
        <f aca="false">-D22/D19</f>
        <v>0.0200000041149764</v>
      </c>
      <c r="E41" s="14" t="n">
        <f aca="false">-E22/E19</f>
        <v>0.0200000002658708</v>
      </c>
      <c r="F41" s="14" t="n">
        <f aca="false">-F22/F19</f>
        <v>0.0200000042689443</v>
      </c>
      <c r="G41" s="14" t="n">
        <f aca="false">-G22/G19</f>
        <v>0.0200000031588491</v>
      </c>
      <c r="H41" s="14" t="n">
        <f aca="false">-H22/H19</f>
        <v>0.0200000018380677</v>
      </c>
      <c r="I41" s="14" t="n">
        <f aca="false">-I22/I19</f>
        <v>0.0200000048487538</v>
      </c>
      <c r="J41" s="14" t="n">
        <f aca="false">-J22/J19</f>
        <v>0.0200000016073499</v>
      </c>
      <c r="K41" s="14" t="n">
        <f aca="false">-K22/K19</f>
        <v>0.02</v>
      </c>
    </row>
    <row r="42" customFormat="false" ht="15" hidden="false" customHeight="false" outlineLevel="0" collapsed="false">
      <c r="C42" s="30" t="s">
        <v>276</v>
      </c>
      <c r="D42" s="32" t="n">
        <f aca="false">D19/Total_Units</f>
        <v>13032.9696782178</v>
      </c>
      <c r="E42" s="32" t="n">
        <f aca="false">E19/Total_Units</f>
        <v>15516.6045792079</v>
      </c>
      <c r="F42" s="32" t="n">
        <f aca="false">F19/Total_Units</f>
        <v>15462.0429042904</v>
      </c>
      <c r="G42" s="32" t="n">
        <f aca="false">G19/Total_Units</f>
        <v>15671.8312706271</v>
      </c>
      <c r="H42" s="32" t="n">
        <f aca="false">H19/Total_Units</f>
        <v>15711.0030940594</v>
      </c>
      <c r="I42" s="32" t="n">
        <f aca="false">I19/Total_Units</f>
        <v>15314.7446369637</v>
      </c>
      <c r="J42" s="32" t="n">
        <f aca="false">J19/Total_Units</f>
        <v>17966.1495462046</v>
      </c>
      <c r="K42" s="32" t="n">
        <f aca="false">K19/Total_Units</f>
        <v>16168.9975247525</v>
      </c>
      <c r="L42" s="32" t="n">
        <f aca="false">L19/Total_Units</f>
        <v>15462.0429661716</v>
      </c>
    </row>
    <row r="43" customFormat="false" ht="15" hidden="false" customHeight="false" outlineLevel="0" collapsed="false">
      <c r="C43" s="23" t="s">
        <v>277</v>
      </c>
      <c r="D43" s="25" t="n">
        <f aca="false">-D29/Total_Units</f>
        <v>6152.26423267327</v>
      </c>
      <c r="E43" s="25" t="n">
        <f aca="false">-E29/Total_Units</f>
        <v>7830.52145214521</v>
      </c>
      <c r="F43" s="25" t="n">
        <f aca="false">-F29/Total_Units</f>
        <v>7715.05796204621</v>
      </c>
      <c r="G43" s="25" t="n">
        <f aca="false">-G29/Total_Units</f>
        <v>7580.65222772277</v>
      </c>
      <c r="H43" s="25" t="n">
        <f aca="false">-H29/Total_Units</f>
        <v>7370.02227722772</v>
      </c>
      <c r="I43" s="25" t="n">
        <f aca="false">-I29/Total_Units</f>
        <v>6336.48411716172</v>
      </c>
      <c r="J43" s="25" t="n">
        <f aca="false">-J29/Total_Units</f>
        <v>7860.49546204621</v>
      </c>
      <c r="K43" s="25" t="n">
        <f aca="false">-K29/Total_Units</f>
        <v>7668.70544554455</v>
      </c>
      <c r="L43" s="25" t="n">
        <f aca="false">-L29/Total_Units</f>
        <v>7929.15301617292</v>
      </c>
    </row>
    <row r="44" customFormat="false" ht="15" hidden="false" customHeight="false" outlineLevel="0" collapsed="false">
      <c r="C44" s="30" t="s">
        <v>278</v>
      </c>
      <c r="D44" s="32" t="n">
        <f aca="false">D30/Total_Units</f>
        <v>6880.70544554455</v>
      </c>
      <c r="E44" s="32" t="n">
        <f aca="false">E30/Total_Units</f>
        <v>7686.08312706271</v>
      </c>
      <c r="F44" s="32" t="n">
        <f aca="false">F30/Total_Units</f>
        <v>7746.98494224423</v>
      </c>
      <c r="G44" s="32" t="n">
        <f aca="false">G30/Total_Units</f>
        <v>8091.17904290429</v>
      </c>
      <c r="H44" s="32" t="n">
        <f aca="false">H30/Total_Units</f>
        <v>8340.98081683168</v>
      </c>
      <c r="I44" s="32" t="n">
        <f aca="false">I30/Total_Units</f>
        <v>8978.26051980198</v>
      </c>
      <c r="J44" s="32" t="n">
        <f aca="false">J30/Total_Units</f>
        <v>10105.6540841584</v>
      </c>
      <c r="K44" s="32" t="n">
        <f aca="false">K30/Total_Units</f>
        <v>8500.29207920792</v>
      </c>
      <c r="L44" s="32" t="n">
        <f aca="false">L30/Total_Units</f>
        <v>7532.8899499987</v>
      </c>
    </row>
    <row r="45" customFormat="false" ht="15" hidden="false" customHeight="false" outlineLevel="0" collapsed="false">
      <c r="C45" s="23" t="s">
        <v>279</v>
      </c>
      <c r="E45" s="26" t="n">
        <f aca="false">E30/D30-1</f>
        <v>0.117048707853009</v>
      </c>
      <c r="F45" s="26" t="n">
        <f aca="false">F30/E30-1</f>
        <v>0.00792364773769916</v>
      </c>
    </row>
    <row r="46" customFormat="false" ht="15" hidden="false" customHeight="false" outlineLevel="0" collapsed="false">
      <c r="C46" s="23" t="s">
        <v>280</v>
      </c>
      <c r="K46" s="26" t="n">
        <f aca="false">K30/F30-1</f>
        <v>0.0972387506339301</v>
      </c>
    </row>
    <row r="47" customFormat="false" ht="15" hidden="false" customHeight="false" outlineLevel="0" collapsed="false">
      <c r="C47" s="23" t="s">
        <v>281</v>
      </c>
      <c r="L47" s="26" t="n">
        <f aca="false">L30/K30-1</f>
        <v>-0.113808104497436</v>
      </c>
    </row>
    <row r="48" customFormat="false" ht="15" hidden="false" customHeight="false" outlineLevel="0" collapsed="false">
      <c r="C48" s="23" t="s">
        <v>282</v>
      </c>
      <c r="L48" s="26" t="n">
        <f aca="false">L30/F30-1</f>
        <v>-0.0276359117568524</v>
      </c>
    </row>
    <row r="51" customFormat="false" ht="15" hidden="false" customHeight="false" outlineLevel="0" collapsed="false">
      <c r="C51" s="21" t="s">
        <v>283</v>
      </c>
    </row>
    <row r="52" customFormat="false" ht="18" hidden="false" customHeight="true" outlineLevel="0" collapsed="false">
      <c r="C52" s="22" t="s">
        <v>230</v>
      </c>
      <c r="D52" s="22" t="s">
        <v>284</v>
      </c>
      <c r="E52" s="22" t="s">
        <v>134</v>
      </c>
    </row>
    <row r="53" customFormat="false" ht="15" hidden="false" customHeight="false" outlineLevel="0" collapsed="false">
      <c r="C53" s="77" t="s">
        <v>43</v>
      </c>
      <c r="D53" s="76" t="n">
        <f aca="false">F30</f>
        <v>37557383</v>
      </c>
      <c r="E53" s="76" t="n">
        <f aca="false">D53/Total_Units</f>
        <v>7746.98494224423</v>
      </c>
    </row>
    <row r="54" customFormat="false" ht="15" hidden="false" customHeight="false" outlineLevel="0" collapsed="false">
      <c r="C54" s="23" t="s">
        <v>285</v>
      </c>
      <c r="D54" s="25" t="n">
        <f aca="false">K6-F6</f>
        <v>447651</v>
      </c>
      <c r="E54" s="25" t="n">
        <f aca="false">D54/Total_Units</f>
        <v>92.3372524752475</v>
      </c>
    </row>
    <row r="55" customFormat="false" ht="15" hidden="false" customHeight="false" outlineLevel="0" collapsed="false">
      <c r="C55" s="23" t="s">
        <v>286</v>
      </c>
      <c r="D55" s="25" t="n">
        <f aca="false">K7-F7</f>
        <v>965286</v>
      </c>
      <c r="E55" s="25" t="n">
        <f aca="false">D55/Total_Units</f>
        <v>199.110148514852</v>
      </c>
    </row>
    <row r="56" customFormat="false" ht="15" hidden="false" customHeight="false" outlineLevel="0" collapsed="false">
      <c r="C56" s="23" t="s">
        <v>287</v>
      </c>
      <c r="D56" s="25" t="n">
        <f aca="false">K8-F8</f>
        <v>609645</v>
      </c>
      <c r="E56" s="25" t="n">
        <f aca="false">D56/Total_Units</f>
        <v>125.751856435644</v>
      </c>
    </row>
    <row r="57" customFormat="false" ht="15" hidden="false" customHeight="false" outlineLevel="0" collapsed="false">
      <c r="C57" s="23" t="s">
        <v>288</v>
      </c>
      <c r="D57" s="25" t="n">
        <f aca="false">K9-F9</f>
        <v>-26476</v>
      </c>
      <c r="E57" s="25" t="n">
        <f aca="false">D57/Total_Units</f>
        <v>-5.46122112211221</v>
      </c>
    </row>
    <row r="58" customFormat="false" ht="15" hidden="false" customHeight="false" outlineLevel="0" collapsed="false">
      <c r="C58" s="23" t="s">
        <v>289</v>
      </c>
      <c r="D58" s="25" t="n">
        <f aca="false">K18-F18</f>
        <v>1431210</v>
      </c>
      <c r="E58" s="25" t="n">
        <f aca="false">D58/Total_Units</f>
        <v>295.216584158416</v>
      </c>
    </row>
    <row r="59" customFormat="false" ht="15" hidden="false" customHeight="false" outlineLevel="0" collapsed="false">
      <c r="C59" s="23" t="s">
        <v>290</v>
      </c>
      <c r="D59" s="25" t="n">
        <f aca="false">K29-F29</f>
        <v>224717</v>
      </c>
      <c r="E59" s="25" t="n">
        <f aca="false">D59/Total_Units</f>
        <v>46.3525165016502</v>
      </c>
    </row>
    <row r="60" customFormat="false" ht="15" hidden="false" customHeight="false" outlineLevel="0" collapsed="false">
      <c r="C60" s="77" t="s">
        <v>45</v>
      </c>
      <c r="D60" s="76" t="n">
        <f aca="false">SUM(D53:D59)</f>
        <v>41209416</v>
      </c>
      <c r="E60" s="76" t="n">
        <f aca="false">D60/Total_Units</f>
        <v>8500.29207920792</v>
      </c>
    </row>
    <row r="61" customFormat="false" ht="15" hidden="false" customHeight="false" outlineLevel="0" collapsed="false">
      <c r="C61" s="23" t="s">
        <v>291</v>
      </c>
      <c r="D61" s="25" t="n">
        <f aca="false">L19-K19</f>
        <v>-3427315.7</v>
      </c>
      <c r="E61" s="25" t="n">
        <f aca="false">D61/Total_Units</f>
        <v>-706.954558580859</v>
      </c>
    </row>
    <row r="62" customFormat="false" ht="15" hidden="false" customHeight="false" outlineLevel="0" collapsed="false">
      <c r="C62" s="23" t="s">
        <v>292</v>
      </c>
      <c r="D62" s="25" t="n">
        <f aca="false">L29-K29</f>
        <v>-1262649.82240631</v>
      </c>
      <c r="E62" s="25" t="n">
        <f aca="false">D62/Total_Units</f>
        <v>-260.447570628364</v>
      </c>
    </row>
    <row r="63" customFormat="false" ht="15" hidden="false" customHeight="false" outlineLevel="0" collapsed="false">
      <c r="C63" s="77" t="s">
        <v>293</v>
      </c>
      <c r="D63" s="76" t="n">
        <f aca="false">D60+D61+D62</f>
        <v>36519450.4775937</v>
      </c>
      <c r="E63" s="76" t="n">
        <f aca="false">D63/Total_Units</f>
        <v>7532.8899499987</v>
      </c>
    </row>
    <row r="64" customFormat="false" ht="15" hidden="false" customHeight="false" outlineLevel="0" collapsed="false">
      <c r="C64" s="23" t="s">
        <v>294</v>
      </c>
      <c r="D64" s="25" t="n">
        <f aca="false">D60-K30</f>
        <v>0</v>
      </c>
    </row>
    <row r="65" customFormat="false" ht="15" hidden="false" customHeight="false" outlineLevel="0" collapsed="false">
      <c r="C65" s="23" t="s">
        <v>295</v>
      </c>
      <c r="D65" s="25" t="n">
        <f aca="false">D63-L30</f>
        <v>0</v>
      </c>
    </row>
    <row r="67" customFormat="false" ht="15" hidden="false" customHeight="false" outlineLevel="0" collapsed="false">
      <c r="C67" s="19" t="s">
        <v>296</v>
      </c>
    </row>
    <row r="68" customFormat="false" ht="15" hidden="false" customHeight="false" outlineLevel="0" collapsed="false">
      <c r="C68" s="19" t="s">
        <v>297</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&amp;L&amp;7 &amp;K9aa0a8CONFIDENTIAL&amp;R&amp;7 &amp;K9aa0a8&amp;P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2F51"/>
    <pageSetUpPr fitToPage="true"/>
  </sheetPr>
  <dimension ref="C1:R9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2" min="1" style="0" width="3"/>
    <col collapsed="false" customWidth="true" hidden="false" outlineLevel="0" max="3" min="3" style="0" width="40"/>
    <col collapsed="false" customWidth="true" hidden="false" outlineLevel="0" max="4" min="4" style="0" width="19"/>
    <col collapsed="false" customWidth="true" hidden="false" outlineLevel="0" max="10" min="5" style="0" width="15"/>
    <col collapsed="false" customWidth="true" hidden="false" outlineLevel="0" max="12" min="11" style="0" width="11"/>
    <col collapsed="false" customWidth="true" hidden="false" outlineLevel="0" max="19" min="13" style="0" width="12"/>
  </cols>
  <sheetData>
    <row r="1" customFormat="false" ht="15" hidden="false" customHeight="false" outlineLevel="0" collapsed="false">
      <c r="C1" s="1" t="str">
        <f aca="false">Deal_Name&amp;" Adverse Selection Analysis"</f>
        <v>RISE 2026-MF Adverse Selection Analysis</v>
      </c>
      <c r="D1" s="4"/>
      <c r="E1" s="4"/>
      <c r="F1" s="4"/>
      <c r="G1" s="4"/>
      <c r="H1" s="4"/>
      <c r="I1" s="4"/>
      <c r="J1" s="4"/>
      <c r="K1" s="4"/>
      <c r="L1" s="4"/>
      <c r="M1" s="4"/>
      <c r="N1" s="4"/>
      <c r="O1" s="4"/>
      <c r="P1" s="4"/>
      <c r="Q1" s="4"/>
      <c r="R1" s="4"/>
    </row>
    <row r="2" customFormat="false" ht="15" hidden="false" customHeight="false" outlineLevel="0" collapsed="false">
      <c r="C2" s="19" t="s">
        <v>298</v>
      </c>
    </row>
    <row r="3" customFormat="false" ht="15" hidden="false" customHeight="false" outlineLevel="0" collapsed="false">
      <c r="C3" s="2" t="s">
        <v>299</v>
      </c>
      <c r="D3" s="5"/>
      <c r="E3" s="5" t="s">
        <v>37</v>
      </c>
    </row>
    <row r="4" customFormat="false" ht="15" hidden="false" customHeight="false" outlineLevel="0" collapsed="false">
      <c r="C4" s="6" t="s">
        <v>300</v>
      </c>
      <c r="E4" s="39" t="n">
        <v>1.1</v>
      </c>
    </row>
    <row r="5" customFormat="false" ht="15" hidden="false" customHeight="false" outlineLevel="0" collapsed="false">
      <c r="C5" s="9" t="s">
        <v>301</v>
      </c>
      <c r="D5" s="11"/>
      <c r="E5" s="33" t="n">
        <v>1.15</v>
      </c>
    </row>
    <row r="6" customFormat="false" ht="15" hidden="false" customHeight="false" outlineLevel="0" collapsed="false">
      <c r="C6" s="6" t="s">
        <v>302</v>
      </c>
      <c r="E6" s="39" t="n">
        <v>0.2</v>
      </c>
    </row>
    <row r="7" customFormat="false" ht="15" hidden="false" customHeight="false" outlineLevel="0" collapsed="false">
      <c r="C7" s="9" t="s">
        <v>303</v>
      </c>
      <c r="D7" s="11"/>
      <c r="E7" s="33" t="n">
        <v>0.2</v>
      </c>
    </row>
    <row r="8" customFormat="false" ht="15" hidden="false" customHeight="false" outlineLevel="0" collapsed="false">
      <c r="C8" s="6" t="s">
        <v>304</v>
      </c>
      <c r="E8" s="39" t="n">
        <v>0.92</v>
      </c>
    </row>
    <row r="9" customFormat="false" ht="15" hidden="false" customHeight="false" outlineLevel="0" collapsed="false">
      <c r="C9" s="9" t="s">
        <v>305</v>
      </c>
      <c r="D9" s="11"/>
      <c r="E9" s="17" t="n">
        <v>1</v>
      </c>
    </row>
    <row r="10" customFormat="false" ht="15" hidden="false" customHeight="false" outlineLevel="0" collapsed="false">
      <c r="C10" s="6" t="s">
        <v>306</v>
      </c>
      <c r="E10" s="25" t="n">
        <f aca="false">Rel_CapPct*Mortgage_Bal</f>
        <v>109700000</v>
      </c>
    </row>
    <row r="11" customFormat="false" ht="15" hidden="false" customHeight="false" outlineLevel="0" collapsed="false">
      <c r="C11" s="9" t="s">
        <v>307</v>
      </c>
      <c r="D11" s="11"/>
      <c r="E11" s="32" t="n">
        <f aca="false">FPA_Pct*Mortgage_Bal</f>
        <v>109700000</v>
      </c>
    </row>
    <row r="12" customFormat="false" ht="15" hidden="false" customHeight="false" outlineLevel="0" collapsed="false">
      <c r="C12" s="6" t="s">
        <v>308</v>
      </c>
      <c r="E12" s="26" t="n">
        <f aca="false">Mortgage_Bal/(Mortgage_Bal+Mezz_Bal)</f>
        <v>0.916457811194653</v>
      </c>
    </row>
    <row r="13" customFormat="false" ht="15" hidden="false" customHeight="false" outlineLevel="0" collapsed="false">
      <c r="C13" s="19" t="s">
        <v>309</v>
      </c>
    </row>
    <row r="14" customFormat="false" ht="15" hidden="false" customHeight="false" outlineLevel="0" collapsed="false">
      <c r="C14" s="19" t="s">
        <v>310</v>
      </c>
    </row>
    <row r="16" customFormat="false" ht="31.5" hidden="false" customHeight="true" outlineLevel="0" collapsed="false">
      <c r="C16" s="22" t="s">
        <v>164</v>
      </c>
      <c r="D16" s="22" t="s">
        <v>165</v>
      </c>
      <c r="E16" s="22" t="s">
        <v>41</v>
      </c>
      <c r="F16" s="22" t="s">
        <v>45</v>
      </c>
      <c r="G16" s="22" t="s">
        <v>198</v>
      </c>
      <c r="H16" s="22" t="s">
        <v>55</v>
      </c>
      <c r="I16" s="22" t="s">
        <v>212</v>
      </c>
      <c r="J16" s="22" t="s">
        <v>311</v>
      </c>
      <c r="K16" s="22" t="s">
        <v>312</v>
      </c>
      <c r="L16" s="22" t="s">
        <v>187</v>
      </c>
      <c r="M16" s="22" t="s">
        <v>313</v>
      </c>
      <c r="N16" s="22" t="s">
        <v>314</v>
      </c>
      <c r="O16" s="22" t="s">
        <v>315</v>
      </c>
      <c r="P16" s="22" t="s">
        <v>316</v>
      </c>
      <c r="Q16" s="22" t="s">
        <v>317</v>
      </c>
      <c r="R16" s="22" t="s">
        <v>318</v>
      </c>
    </row>
    <row r="17" customFormat="false" ht="15" hidden="false" customHeight="false" outlineLevel="0" collapsed="false">
      <c r="C17" s="61" t="str">
        <f aca="false">INDEX(SSP_Asset,ROWS(C$17:C17))</f>
        <v>Rise Broadway</v>
      </c>
      <c r="D17" s="61" t="str">
        <f aca="false">INDEX(Tape_Market,MATCH($C17,Tape_Property,0))</f>
        <v>Phoenix</v>
      </c>
      <c r="E17" s="57" t="n">
        <f aca="false">INDEX(Tape_Units,MATCH($C17,Tape_Property,0))</f>
        <v>288</v>
      </c>
      <c r="F17" s="49" t="n">
        <f aca="false">INDEX(SSP_NOI_UW_Rng,MATCH($C17,SSP_Asset,0))</f>
        <v>3109129.37394395</v>
      </c>
      <c r="G17" s="49" t="n">
        <f aca="false">INDEX(SSP_NOI_Rng,MATCH($C17,SSP_Asset,0))</f>
        <v>3141492.75195115</v>
      </c>
      <c r="H17" s="49" t="n">
        <f aca="false">INDEX(SSP_Value_Rng,MATCH($C17,SSP_Asset,0))</f>
        <v>57120000</v>
      </c>
      <c r="I17" s="49" t="n">
        <f aca="false">INDEX(Tape_ALA,MATCH($C17,Tape_Property,0))</f>
        <v>49100000</v>
      </c>
      <c r="J17" s="26" t="n">
        <f aca="false">I17/H17</f>
        <v>0.859593837535014</v>
      </c>
      <c r="K17" s="14" t="n">
        <f aca="false">G17/I17</f>
        <v>0.0639815224429969</v>
      </c>
      <c r="L17" s="62" t="n">
        <f aca="false">INDEX(EconOcc_TTM,MATCH($C17,Tape_Property,0))</f>
        <v>0.913</v>
      </c>
      <c r="M17" s="78" t="n">
        <f aca="false">IF(SUMIFS($I$17:$I$39,$J$17:$J$39,"&lt;="&amp;$J17)&lt;=$E$10,1,0)</f>
        <v>0</v>
      </c>
      <c r="N17" s="78" t="n">
        <f aca="false">IF(SUMIFS($I$17:$I$39,$K$17:$K$39,"&gt;="&amp;$K17)&lt;=$E$10,1,0)</f>
        <v>0</v>
      </c>
      <c r="O17" s="78" t="n">
        <f aca="false">IF($J17&lt;$J$40,1,0)</f>
        <v>1</v>
      </c>
      <c r="P17" s="78" t="n">
        <f aca="false">IF($D17="Phoenix",1,0)</f>
        <v>1</v>
      </c>
      <c r="Q17" s="78" t="n">
        <f aca="false">IF($D17="Dallas-Fort Worth",1,0)</f>
        <v>0</v>
      </c>
      <c r="R17" s="78" t="n">
        <f aca="false">IF($L17&gt;=$E$8,1,0)</f>
        <v>0</v>
      </c>
    </row>
    <row r="18" customFormat="false" ht="15" hidden="false" customHeight="false" outlineLevel="0" collapsed="false">
      <c r="C18" s="65" t="str">
        <f aca="false">INDEX(SSP_Asset,ROWS(C$17:C18))</f>
        <v>Rise Bedford Lake</v>
      </c>
      <c r="D18" s="65" t="str">
        <f aca="false">INDEX(Tape_Market,MATCH($C18,Tape_Property,0))</f>
        <v>Dallas-Fort Worth</v>
      </c>
      <c r="E18" s="66" t="n">
        <f aca="false">INDEX(Tape_Units,MATCH($C18,Tape_Property,0))</f>
        <v>360</v>
      </c>
      <c r="F18" s="51" t="n">
        <f aca="false">INDEX(SSP_NOI_UW_Rng,MATCH($C18,SSP_Asset,0))</f>
        <v>2860245.32335448</v>
      </c>
      <c r="G18" s="51" t="n">
        <f aca="false">INDEX(SSP_NOI_Rng,MATCH($C18,SSP_Asset,0))</f>
        <v>2523589.3394</v>
      </c>
      <c r="H18" s="51" t="n">
        <f aca="false">INDEX(SSP_Value_Rng,MATCH($C18,SSP_Asset,0))</f>
        <v>40380000</v>
      </c>
      <c r="I18" s="51" t="n">
        <f aca="false">INDEX(Tape_ALA,MATCH($C18,Tape_Property,0))</f>
        <v>38900000</v>
      </c>
      <c r="J18" s="34" t="n">
        <f aca="false">I18/H18</f>
        <v>0.963348192174344</v>
      </c>
      <c r="K18" s="35" t="n">
        <f aca="false">G18/I18</f>
        <v>0.0648737619383033</v>
      </c>
      <c r="L18" s="67" t="n">
        <f aca="false">INDEX(EconOcc_TTM,MATCH($C18,Tape_Property,0))</f>
        <v>0.916</v>
      </c>
      <c r="M18" s="79" t="n">
        <f aca="false">IF(SUMIFS($I$17:$I$39,$J$17:$J$39,"&lt;="&amp;$J18)&lt;=$E$10,1,0)</f>
        <v>0</v>
      </c>
      <c r="N18" s="79" t="n">
        <f aca="false">IF(SUMIFS($I$17:$I$39,$K$17:$K$39,"&gt;="&amp;$K18)&lt;=$E$10,1,0)</f>
        <v>0</v>
      </c>
      <c r="O18" s="79" t="n">
        <f aca="false">IF($J18&lt;$J$40,1,0)</f>
        <v>0</v>
      </c>
      <c r="P18" s="79" t="n">
        <f aca="false">IF($D18="Phoenix",1,0)</f>
        <v>0</v>
      </c>
      <c r="Q18" s="79" t="n">
        <f aca="false">IF($D18="Dallas-Fort Worth",1,0)</f>
        <v>1</v>
      </c>
      <c r="R18" s="79" t="n">
        <f aca="false">IF($L18&gt;=$E$8,1,0)</f>
        <v>0</v>
      </c>
    </row>
    <row r="19" customFormat="false" ht="15" hidden="false" customHeight="false" outlineLevel="0" collapsed="false">
      <c r="C19" s="61" t="str">
        <f aca="false">INDEX(SSP_Asset,ROWS(C$17:C19))</f>
        <v>Rise Creekside</v>
      </c>
      <c r="D19" s="61" t="str">
        <f aca="false">INDEX(Tape_Market,MATCH($C19,Tape_Property,0))</f>
        <v>Dallas-Fort Worth</v>
      </c>
      <c r="E19" s="57" t="n">
        <f aca="false">INDEX(Tape_Units,MATCH($C19,Tape_Property,0))</f>
        <v>228</v>
      </c>
      <c r="F19" s="49" t="n">
        <f aca="false">INDEX(SSP_NOI_UW_Rng,MATCH($C19,SSP_Asset,0))</f>
        <v>2352132.12770446</v>
      </c>
      <c r="G19" s="49" t="n">
        <f aca="false">INDEX(SSP_NOI_Rng,MATCH($C19,SSP_Asset,0))</f>
        <v>1808251.6908</v>
      </c>
      <c r="H19" s="49" t="n">
        <f aca="false">INDEX(SSP_Value_Rng,MATCH($C19,SSP_Asset,0))</f>
        <v>32880000</v>
      </c>
      <c r="I19" s="49" t="n">
        <f aca="false">INDEX(Tape_ALA,MATCH($C19,Tape_Property,0))</f>
        <v>34100000</v>
      </c>
      <c r="J19" s="26" t="n">
        <f aca="false">I19/H19</f>
        <v>1.03710462287105</v>
      </c>
      <c r="K19" s="14" t="n">
        <f aca="false">G19/I19</f>
        <v>0.0530279088211144</v>
      </c>
      <c r="L19" s="62" t="n">
        <f aca="false">INDEX(EconOcc_TTM,MATCH($C19,Tape_Property,0))</f>
        <v>0.887</v>
      </c>
      <c r="M19" s="78" t="n">
        <f aca="false">IF(SUMIFS($I$17:$I$39,$J$17:$J$39,"&lt;="&amp;$J19)&lt;=$E$10,1,0)</f>
        <v>0</v>
      </c>
      <c r="N19" s="78" t="n">
        <f aca="false">IF(SUMIFS($I$17:$I$39,$K$17:$K$39,"&gt;="&amp;$K19)&lt;=$E$10,1,0)</f>
        <v>0</v>
      </c>
      <c r="O19" s="78" t="n">
        <f aca="false">IF($J19&lt;$J$40,1,0)</f>
        <v>0</v>
      </c>
      <c r="P19" s="78" t="n">
        <f aca="false">IF($D19="Phoenix",1,0)</f>
        <v>0</v>
      </c>
      <c r="Q19" s="78" t="n">
        <f aca="false">IF($D19="Dallas-Fort Worth",1,0)</f>
        <v>1</v>
      </c>
      <c r="R19" s="78" t="n">
        <f aca="false">IF($L19&gt;=$E$8,1,0)</f>
        <v>0</v>
      </c>
    </row>
    <row r="20" customFormat="false" ht="15" hidden="false" customHeight="false" outlineLevel="0" collapsed="false">
      <c r="C20" s="65" t="str">
        <f aca="false">INDEX(SSP_Asset,ROWS(C$17:C20))</f>
        <v>Rise Bridgeview</v>
      </c>
      <c r="D20" s="65" t="str">
        <f aca="false">INDEX(Tape_Market,MATCH($C20,Tape_Property,0))</f>
        <v>Greensboro</v>
      </c>
      <c r="E20" s="66" t="n">
        <f aca="false">INDEX(Tape_Units,MATCH($C20,Tape_Property,0))</f>
        <v>240</v>
      </c>
      <c r="F20" s="51" t="n">
        <f aca="false">INDEX(SSP_NOI_UW_Rng,MATCH($C20,SSP_Asset,0))</f>
        <v>2072242.16647312</v>
      </c>
      <c r="G20" s="51" t="n">
        <f aca="false">INDEX(SSP_NOI_Rng,MATCH($C20,SSP_Asset,0))</f>
        <v>1967158.25120565</v>
      </c>
      <c r="H20" s="51" t="n">
        <f aca="false">INDEX(SSP_Value_Rng,MATCH($C20,SSP_Asset,0))</f>
        <v>35770000</v>
      </c>
      <c r="I20" s="51" t="n">
        <f aca="false">INDEX(Tape_ALA,MATCH($C20,Tape_Property,0))</f>
        <v>33300000</v>
      </c>
      <c r="J20" s="34" t="n">
        <f aca="false">I20/H20</f>
        <v>0.930947721554375</v>
      </c>
      <c r="K20" s="35" t="n">
        <f aca="false">G20/I20</f>
        <v>0.0590738213575271</v>
      </c>
      <c r="L20" s="67" t="n">
        <f aca="false">INDEX(EconOcc_TTM,MATCH($C20,Tape_Property,0))</f>
        <v>0.925</v>
      </c>
      <c r="M20" s="79" t="n">
        <f aca="false">IF(SUMIFS($I$17:$I$39,$J$17:$J$39,"&lt;="&amp;$J20)&lt;=$E$10,1,0)</f>
        <v>0</v>
      </c>
      <c r="N20" s="79" t="n">
        <f aca="false">IF(SUMIFS($I$17:$I$39,$K$17:$K$39,"&gt;="&amp;$K20)&lt;=$E$10,1,0)</f>
        <v>0</v>
      </c>
      <c r="O20" s="79" t="n">
        <f aca="false">IF($J20&lt;$J$40,1,0)</f>
        <v>1</v>
      </c>
      <c r="P20" s="79" t="n">
        <f aca="false">IF($D20="Phoenix",1,0)</f>
        <v>0</v>
      </c>
      <c r="Q20" s="79" t="n">
        <f aca="false">IF($D20="Dallas-Fort Worth",1,0)</f>
        <v>0</v>
      </c>
      <c r="R20" s="79" t="n">
        <f aca="false">IF($L20&gt;=$E$8,1,0)</f>
        <v>1</v>
      </c>
    </row>
    <row r="21" customFormat="false" ht="15" hidden="false" customHeight="false" outlineLevel="0" collapsed="false">
      <c r="C21" s="61" t="str">
        <f aca="false">INDEX(SSP_Asset,ROWS(C$17:C21))</f>
        <v>Rise Suncrest</v>
      </c>
      <c r="D21" s="61" t="str">
        <f aca="false">INDEX(Tape_Market,MATCH($C21,Tape_Property,0))</f>
        <v>Phoenix</v>
      </c>
      <c r="E21" s="57" t="n">
        <f aca="false">INDEX(Tape_Units,MATCH($C21,Tape_Property,0))</f>
        <v>160</v>
      </c>
      <c r="F21" s="49" t="n">
        <f aca="false">INDEX(SSP_NOI_UW_Rng,MATCH($C21,SSP_Asset,0))</f>
        <v>2092921.6598375</v>
      </c>
      <c r="G21" s="49" t="n">
        <f aca="false">INDEX(SSP_NOI_Rng,MATCH($C21,SSP_Asset,0))</f>
        <v>1931074.62334005</v>
      </c>
      <c r="H21" s="49" t="n">
        <f aca="false">INDEX(SSP_Value_Rng,MATCH($C21,SSP_Asset,0))</f>
        <v>35110000</v>
      </c>
      <c r="I21" s="49" t="n">
        <f aca="false">INDEX(Tape_ALA,MATCH($C21,Tape_Property,0))</f>
        <v>32600000</v>
      </c>
      <c r="J21" s="26" t="n">
        <f aca="false">I21/H21</f>
        <v>0.928510395898604</v>
      </c>
      <c r="K21" s="14" t="n">
        <f aca="false">G21/I21</f>
        <v>0.0592354178938666</v>
      </c>
      <c r="L21" s="62" t="n">
        <f aca="false">INDEX(EconOcc_TTM,MATCH($C21,Tape_Property,0))</f>
        <v>0.919</v>
      </c>
      <c r="M21" s="78" t="n">
        <f aca="false">IF(SUMIFS($I$17:$I$39,$J$17:$J$39,"&lt;="&amp;$J21)&lt;=$E$10,1,0)</f>
        <v>0</v>
      </c>
      <c r="N21" s="78" t="n">
        <f aca="false">IF(SUMIFS($I$17:$I$39,$K$17:$K$39,"&gt;="&amp;$K21)&lt;=$E$10,1,0)</f>
        <v>0</v>
      </c>
      <c r="O21" s="78" t="n">
        <f aca="false">IF($J21&lt;$J$40,1,0)</f>
        <v>1</v>
      </c>
      <c r="P21" s="78" t="n">
        <f aca="false">IF($D21="Phoenix",1,0)</f>
        <v>1</v>
      </c>
      <c r="Q21" s="78" t="n">
        <f aca="false">IF($D21="Dallas-Fort Worth",1,0)</f>
        <v>0</v>
      </c>
      <c r="R21" s="78" t="n">
        <f aca="false">IF($L21&gt;=$E$8,1,0)</f>
        <v>0</v>
      </c>
    </row>
    <row r="22" customFormat="false" ht="15" hidden="false" customHeight="false" outlineLevel="0" collapsed="false">
      <c r="C22" s="65" t="str">
        <f aca="false">INDEX(SSP_Asset,ROWS(C$17:C22))</f>
        <v>Rise Desert Cove</v>
      </c>
      <c r="D22" s="65" t="str">
        <f aca="false">INDEX(Tape_Market,MATCH($C22,Tape_Property,0))</f>
        <v>Phoenix</v>
      </c>
      <c r="E22" s="66" t="n">
        <f aca="false">INDEX(Tape_Units,MATCH($C22,Tape_Property,0))</f>
        <v>186</v>
      </c>
      <c r="F22" s="51" t="n">
        <f aca="false">INDEX(SSP_NOI_UW_Rng,MATCH($C22,SSP_Asset,0))</f>
        <v>2202870.39161631</v>
      </c>
      <c r="G22" s="51" t="n">
        <f aca="false">INDEX(SSP_NOI_Rng,MATCH($C22,SSP_Asset,0))</f>
        <v>2074811.7587813</v>
      </c>
      <c r="H22" s="51" t="n">
        <f aca="false">INDEX(SSP_Value_Rng,MATCH($C22,SSP_Asset,0))</f>
        <v>37720000</v>
      </c>
      <c r="I22" s="51" t="n">
        <f aca="false">INDEX(Tape_ALA,MATCH($C22,Tape_Property,0))</f>
        <v>31900000</v>
      </c>
      <c r="J22" s="34" t="n">
        <f aca="false">I22/H22</f>
        <v>0.845705196182397</v>
      </c>
      <c r="K22" s="35" t="n">
        <f aca="false">G22/I22</f>
        <v>0.065041120964931</v>
      </c>
      <c r="L22" s="67" t="n">
        <f aca="false">INDEX(EconOcc_TTM,MATCH($C22,Tape_Property,0))</f>
        <v>0.939</v>
      </c>
      <c r="M22" s="79" t="n">
        <f aca="false">IF(SUMIFS($I$17:$I$39,$J$17:$J$39,"&lt;="&amp;$J22)&lt;=$E$10,1,0)</f>
        <v>1</v>
      </c>
      <c r="N22" s="79" t="n">
        <f aca="false">IF(SUMIFS($I$17:$I$39,$K$17:$K$39,"&gt;="&amp;$K22)&lt;=$E$10,1,0)</f>
        <v>0</v>
      </c>
      <c r="O22" s="79" t="n">
        <f aca="false">IF($J22&lt;$J$40,1,0)</f>
        <v>1</v>
      </c>
      <c r="P22" s="79" t="n">
        <f aca="false">IF($D22="Phoenix",1,0)</f>
        <v>1</v>
      </c>
      <c r="Q22" s="79" t="n">
        <f aca="false">IF($D22="Dallas-Fort Worth",1,0)</f>
        <v>0</v>
      </c>
      <c r="R22" s="79" t="n">
        <f aca="false">IF($L22&gt;=$E$8,1,0)</f>
        <v>1</v>
      </c>
    </row>
    <row r="23" customFormat="false" ht="15" hidden="false" customHeight="false" outlineLevel="0" collapsed="false">
      <c r="C23" s="61" t="str">
        <f aca="false">INDEX(SSP_Asset,ROWS(C$17:C23))</f>
        <v>Rise Fossil Creek</v>
      </c>
      <c r="D23" s="61" t="str">
        <f aca="false">INDEX(Tape_Market,MATCH($C23,Tape_Property,0))</f>
        <v>Dallas-Fort Worth</v>
      </c>
      <c r="E23" s="57" t="n">
        <f aca="false">INDEX(Tape_Units,MATCH($C23,Tape_Property,0))</f>
        <v>288</v>
      </c>
      <c r="F23" s="49" t="n">
        <f aca="false">INDEX(SSP_NOI_UW_Rng,MATCH($C23,SSP_Asset,0))</f>
        <v>2197596.14839892</v>
      </c>
      <c r="G23" s="49" t="n">
        <f aca="false">INDEX(SSP_NOI_Rng,MATCH($C23,SSP_Asset,0))</f>
        <v>1992143.4587</v>
      </c>
      <c r="H23" s="49" t="n">
        <f aca="false">INDEX(SSP_Value_Rng,MATCH($C23,SSP_Asset,0))</f>
        <v>31870000</v>
      </c>
      <c r="I23" s="49" t="n">
        <f aca="false">INDEX(Tape_ALA,MATCH($C23,Tape_Property,0))</f>
        <v>31200000</v>
      </c>
      <c r="J23" s="26" t="n">
        <f aca="false">I23/H23</f>
        <v>0.978977094446188</v>
      </c>
      <c r="K23" s="14" t="n">
        <f aca="false">G23/I23</f>
        <v>0.0638507518814103</v>
      </c>
      <c r="L23" s="62" t="n">
        <f aca="false">INDEX(EconOcc_TTM,MATCH($C23,Tape_Property,0))</f>
        <v>0.915</v>
      </c>
      <c r="M23" s="78" t="n">
        <f aca="false">IF(SUMIFS($I$17:$I$39,$J$17:$J$39,"&lt;="&amp;$J23)&lt;=$E$10,1,0)</f>
        <v>0</v>
      </c>
      <c r="N23" s="78" t="n">
        <f aca="false">IF(SUMIFS($I$17:$I$39,$K$17:$K$39,"&gt;="&amp;$K23)&lt;=$E$10,1,0)</f>
        <v>0</v>
      </c>
      <c r="O23" s="78" t="n">
        <f aca="false">IF($J23&lt;$J$40,1,0)</f>
        <v>0</v>
      </c>
      <c r="P23" s="78" t="n">
        <f aca="false">IF($D23="Phoenix",1,0)</f>
        <v>0</v>
      </c>
      <c r="Q23" s="78" t="n">
        <f aca="false">IF($D23="Dallas-Fort Worth",1,0)</f>
        <v>1</v>
      </c>
      <c r="R23" s="78" t="n">
        <f aca="false">IF($L23&gt;=$E$8,1,0)</f>
        <v>0</v>
      </c>
    </row>
    <row r="24" customFormat="false" ht="15" hidden="false" customHeight="false" outlineLevel="0" collapsed="false">
      <c r="C24" s="65" t="str">
        <f aca="false">INDEX(SSP_Asset,ROWS(C$17:C24))</f>
        <v>Rise Desert West</v>
      </c>
      <c r="D24" s="65" t="str">
        <f aca="false">INDEX(Tape_Market,MATCH($C24,Tape_Property,0))</f>
        <v>Phoenix</v>
      </c>
      <c r="E24" s="66" t="n">
        <f aca="false">INDEX(Tape_Units,MATCH($C24,Tape_Property,0))</f>
        <v>204</v>
      </c>
      <c r="F24" s="51" t="n">
        <f aca="false">INDEX(SSP_NOI_UW_Rng,MATCH($C24,SSP_Asset,0))</f>
        <v>2006576.86681907</v>
      </c>
      <c r="G24" s="51" t="n">
        <f aca="false">INDEX(SSP_NOI_Rng,MATCH($C24,SSP_Asset,0))</f>
        <v>1756853.98164961</v>
      </c>
      <c r="H24" s="51" t="n">
        <f aca="false">INDEX(SSP_Value_Rng,MATCH($C24,SSP_Asset,0))</f>
        <v>31940000</v>
      </c>
      <c r="I24" s="51" t="n">
        <f aca="false">INDEX(Tape_ALA,MATCH($C24,Tape_Property,0))</f>
        <v>30300000</v>
      </c>
      <c r="J24" s="34" t="n">
        <f aca="false">I24/H24</f>
        <v>0.948653725735755</v>
      </c>
      <c r="K24" s="35" t="n">
        <f aca="false">G24/I24</f>
        <v>0.0579819795923964</v>
      </c>
      <c r="L24" s="67" t="n">
        <f aca="false">INDEX(EconOcc_TTM,MATCH($C24,Tape_Property,0))</f>
        <v>0.912</v>
      </c>
      <c r="M24" s="79" t="n">
        <f aca="false">IF(SUMIFS($I$17:$I$39,$J$17:$J$39,"&lt;="&amp;$J24)&lt;=$E$10,1,0)</f>
        <v>0</v>
      </c>
      <c r="N24" s="79" t="n">
        <f aca="false">IF(SUMIFS($I$17:$I$39,$K$17:$K$39,"&gt;="&amp;$K24)&lt;=$E$10,1,0)</f>
        <v>0</v>
      </c>
      <c r="O24" s="79" t="n">
        <f aca="false">IF($J24&lt;$J$40,1,0)</f>
        <v>0</v>
      </c>
      <c r="P24" s="79" t="n">
        <f aca="false">IF($D24="Phoenix",1,0)</f>
        <v>1</v>
      </c>
      <c r="Q24" s="79" t="n">
        <f aca="false">IF($D24="Dallas-Fort Worth",1,0)</f>
        <v>0</v>
      </c>
      <c r="R24" s="79" t="n">
        <f aca="false">IF($L24&gt;=$E$8,1,0)</f>
        <v>0</v>
      </c>
    </row>
    <row r="25" customFormat="false" ht="15" hidden="false" customHeight="false" outlineLevel="0" collapsed="false">
      <c r="C25" s="61" t="str">
        <f aca="false">INDEX(SSP_Asset,ROWS(C$17:C25))</f>
        <v>Rise Lakeside</v>
      </c>
      <c r="D25" s="61" t="str">
        <f aca="false">INDEX(Tape_Market,MATCH($C25,Tape_Property,0))</f>
        <v>Phoenix</v>
      </c>
      <c r="E25" s="57" t="n">
        <f aca="false">INDEX(Tape_Units,MATCH($C25,Tape_Property,0))</f>
        <v>288</v>
      </c>
      <c r="F25" s="49" t="n">
        <f aca="false">INDEX(SSP_NOI_UW_Rng,MATCH($C25,SSP_Asset,0))</f>
        <v>2148387.46267814</v>
      </c>
      <c r="G25" s="49" t="n">
        <f aca="false">INDEX(SSP_NOI_Rng,MATCH($C25,SSP_Asset,0))</f>
        <v>1550129.30098412</v>
      </c>
      <c r="H25" s="49" t="n">
        <f aca="false">INDEX(SSP_Value_Rng,MATCH($C25,SSP_Asset,0))</f>
        <v>28180000</v>
      </c>
      <c r="I25" s="49" t="n">
        <f aca="false">INDEX(Tape_ALA,MATCH($C25,Tape_Property,0))</f>
        <v>30000000</v>
      </c>
      <c r="J25" s="26" t="n">
        <f aca="false">I25/H25</f>
        <v>1.06458481192335</v>
      </c>
      <c r="K25" s="14" t="n">
        <f aca="false">G25/I25</f>
        <v>0.0516709766994707</v>
      </c>
      <c r="L25" s="62" t="n">
        <f aca="false">INDEX(EconOcc_TTM,MATCH($C25,Tape_Property,0))</f>
        <v>0.788</v>
      </c>
      <c r="M25" s="78" t="n">
        <f aca="false">IF(SUMIFS($I$17:$I$39,$J$17:$J$39,"&lt;="&amp;$J25)&lt;=$E$10,1,0)</f>
        <v>0</v>
      </c>
      <c r="N25" s="78" t="n">
        <f aca="false">IF(SUMIFS($I$17:$I$39,$K$17:$K$39,"&gt;="&amp;$K25)&lt;=$E$10,1,0)</f>
        <v>0</v>
      </c>
      <c r="O25" s="78" t="n">
        <f aca="false">IF($J25&lt;$J$40,1,0)</f>
        <v>0</v>
      </c>
      <c r="P25" s="78" t="n">
        <f aca="false">IF($D25="Phoenix",1,0)</f>
        <v>1</v>
      </c>
      <c r="Q25" s="78" t="n">
        <f aca="false">IF($D25="Dallas-Fort Worth",1,0)</f>
        <v>0</v>
      </c>
      <c r="R25" s="78" t="n">
        <f aca="false">IF($L25&gt;=$E$8,1,0)</f>
        <v>0</v>
      </c>
    </row>
    <row r="26" customFormat="false" ht="15" hidden="false" customHeight="false" outlineLevel="0" collapsed="false">
      <c r="C26" s="65" t="str">
        <f aca="false">INDEX(SSP_Asset,ROWS(C$17:C26))</f>
        <v>Rise Spring Pointe</v>
      </c>
      <c r="D26" s="65" t="str">
        <f aca="false">INDEX(Tape_Market,MATCH($C26,Tape_Property,0))</f>
        <v>Dallas-Fort Worth</v>
      </c>
      <c r="E26" s="66" t="n">
        <f aca="false">INDEX(Tape_Units,MATCH($C26,Tape_Property,0))</f>
        <v>323</v>
      </c>
      <c r="F26" s="51" t="n">
        <f aca="false">INDEX(SSP_NOI_UW_Rng,MATCH($C26,SSP_Asset,0))</f>
        <v>1845474.8564276</v>
      </c>
      <c r="G26" s="51" t="n">
        <f aca="false">INDEX(SSP_NOI_Rng,MATCH($C26,SSP_Asset,0))</f>
        <v>1809990.35314117</v>
      </c>
      <c r="H26" s="51" t="n">
        <f aca="false">INDEX(SSP_Value_Rng,MATCH($C26,SSP_Asset,0))</f>
        <v>28960000</v>
      </c>
      <c r="I26" s="51" t="n">
        <f aca="false">INDEX(Tape_ALA,MATCH($C26,Tape_Property,0))</f>
        <v>26200000</v>
      </c>
      <c r="J26" s="34" t="n">
        <f aca="false">I26/H26</f>
        <v>0.904696132596685</v>
      </c>
      <c r="K26" s="35" t="n">
        <f aca="false">G26/I26</f>
        <v>0.0690836012649301</v>
      </c>
      <c r="L26" s="67" t="n">
        <f aca="false">INDEX(EconOcc_TTM,MATCH($C26,Tape_Property,0))</f>
        <v>0.902</v>
      </c>
      <c r="M26" s="79" t="n">
        <f aca="false">IF(SUMIFS($I$17:$I$39,$J$17:$J$39,"&lt;="&amp;$J26)&lt;=$E$10,1,0)</f>
        <v>0</v>
      </c>
      <c r="N26" s="79" t="n">
        <f aca="false">IF(SUMIFS($I$17:$I$39,$K$17:$K$39,"&gt;="&amp;$K26)&lt;=$E$10,1,0)</f>
        <v>1</v>
      </c>
      <c r="O26" s="79" t="n">
        <f aca="false">IF($J26&lt;$J$40,1,0)</f>
        <v>1</v>
      </c>
      <c r="P26" s="79" t="n">
        <f aca="false">IF($D26="Phoenix",1,0)</f>
        <v>0</v>
      </c>
      <c r="Q26" s="79" t="n">
        <f aca="false">IF($D26="Dallas-Fort Worth",1,0)</f>
        <v>1</v>
      </c>
      <c r="R26" s="79" t="n">
        <f aca="false">IF($L26&gt;=$E$8,1,0)</f>
        <v>0</v>
      </c>
    </row>
    <row r="27" customFormat="false" ht="15" hidden="false" customHeight="false" outlineLevel="0" collapsed="false">
      <c r="C27" s="61" t="str">
        <f aca="false">INDEX(SSP_Asset,ROWS(C$17:C27))</f>
        <v>Rise Skyline</v>
      </c>
      <c r="D27" s="61" t="str">
        <f aca="false">INDEX(Tape_Market,MATCH($C27,Tape_Property,0))</f>
        <v>Dallas-Fort Worth</v>
      </c>
      <c r="E27" s="57" t="n">
        <f aca="false">INDEX(Tape_Units,MATCH($C27,Tape_Property,0))</f>
        <v>200</v>
      </c>
      <c r="F27" s="49" t="n">
        <f aca="false">INDEX(SSP_NOI_UW_Rng,MATCH($C27,SSP_Asset,0))</f>
        <v>1750620.92344894</v>
      </c>
      <c r="G27" s="49" t="n">
        <f aca="false">INDEX(SSP_NOI_Rng,MATCH($C27,SSP_Asset,0))</f>
        <v>1497770.9405</v>
      </c>
      <c r="H27" s="49" t="n">
        <f aca="false">INDEX(SSP_Value_Rng,MATCH($C27,SSP_Asset,0))</f>
        <v>27230000</v>
      </c>
      <c r="I27" s="49" t="n">
        <f aca="false">INDEX(Tape_ALA,MATCH($C27,Tape_Property,0))</f>
        <v>25000000</v>
      </c>
      <c r="J27" s="26" t="n">
        <f aca="false">I27/H27</f>
        <v>0.918105031215571</v>
      </c>
      <c r="K27" s="14" t="n">
        <f aca="false">G27/I27</f>
        <v>0.05991083762</v>
      </c>
      <c r="L27" s="62" t="n">
        <f aca="false">INDEX(EconOcc_TTM,MATCH($C27,Tape_Property,0))</f>
        <v>0.911</v>
      </c>
      <c r="M27" s="78" t="n">
        <f aca="false">IF(SUMIFS($I$17:$I$39,$J$17:$J$39,"&lt;="&amp;$J27)&lt;=$E$10,1,0)</f>
        <v>0</v>
      </c>
      <c r="N27" s="78" t="n">
        <f aca="false">IF(SUMIFS($I$17:$I$39,$K$17:$K$39,"&gt;="&amp;$K27)&lt;=$E$10,1,0)</f>
        <v>0</v>
      </c>
      <c r="O27" s="78" t="n">
        <f aca="false">IF($J27&lt;$J$40,1,0)</f>
        <v>1</v>
      </c>
      <c r="P27" s="78" t="n">
        <f aca="false">IF($D27="Phoenix",1,0)</f>
        <v>0</v>
      </c>
      <c r="Q27" s="78" t="n">
        <f aca="false">IF($D27="Dallas-Fort Worth",1,0)</f>
        <v>1</v>
      </c>
      <c r="R27" s="78" t="n">
        <f aca="false">IF($L27&gt;=$E$8,1,0)</f>
        <v>0</v>
      </c>
    </row>
    <row r="28" customFormat="false" ht="15" hidden="false" customHeight="false" outlineLevel="0" collapsed="false">
      <c r="C28" s="65" t="str">
        <f aca="false">INDEX(SSP_Asset,ROWS(C$17:C28))</f>
        <v>Rise Hillcrest</v>
      </c>
      <c r="D28" s="65" t="str">
        <f aca="false">INDEX(Tape_Market,MATCH($C28,Tape_Property,0))</f>
        <v>Dallas-Fort Worth</v>
      </c>
      <c r="E28" s="66" t="n">
        <f aca="false">INDEX(Tape_Units,MATCH($C28,Tape_Property,0))</f>
        <v>224</v>
      </c>
      <c r="F28" s="51" t="n">
        <f aca="false">INDEX(SSP_NOI_UW_Rng,MATCH($C28,SSP_Asset,0))</f>
        <v>1576649.31113792</v>
      </c>
      <c r="G28" s="51" t="n">
        <f aca="false">INDEX(SSP_NOI_Rng,MATCH($C28,SSP_Asset,0))</f>
        <v>1579104.457</v>
      </c>
      <c r="H28" s="51" t="n">
        <f aca="false">INDEX(SSP_Value_Rng,MATCH($C28,SSP_Asset,0))</f>
        <v>25270000</v>
      </c>
      <c r="I28" s="51" t="n">
        <f aca="false">INDEX(Tape_ALA,MATCH($C28,Tape_Property,0))</f>
        <v>23100000</v>
      </c>
      <c r="J28" s="34" t="n">
        <f aca="false">I28/H28</f>
        <v>0.914127423822715</v>
      </c>
      <c r="K28" s="35" t="n">
        <f aca="false">G28/I28</f>
        <v>0.0683595003030303</v>
      </c>
      <c r="L28" s="67" t="n">
        <f aca="false">INDEX(EconOcc_TTM,MATCH($C28,Tape_Property,0))</f>
        <v>0.926</v>
      </c>
      <c r="M28" s="79" t="n">
        <f aca="false">IF(SUMIFS($I$17:$I$39,$J$17:$J$39,"&lt;="&amp;$J28)&lt;=$E$10,1,0)</f>
        <v>0</v>
      </c>
      <c r="N28" s="79" t="n">
        <f aca="false">IF(SUMIFS($I$17:$I$39,$K$17:$K$39,"&gt;="&amp;$K28)&lt;=$E$10,1,0)</f>
        <v>1</v>
      </c>
      <c r="O28" s="79" t="n">
        <f aca="false">IF($J28&lt;$J$40,1,0)</f>
        <v>1</v>
      </c>
      <c r="P28" s="79" t="n">
        <f aca="false">IF($D28="Phoenix",1,0)</f>
        <v>0</v>
      </c>
      <c r="Q28" s="79" t="n">
        <f aca="false">IF($D28="Dallas-Fort Worth",1,0)</f>
        <v>1</v>
      </c>
      <c r="R28" s="79" t="n">
        <f aca="false">IF($L28&gt;=$E$8,1,0)</f>
        <v>1</v>
      </c>
    </row>
    <row r="29" customFormat="false" ht="15" hidden="false" customHeight="false" outlineLevel="0" collapsed="false">
      <c r="C29" s="61" t="str">
        <f aca="false">INDEX(SSP_Asset,ROWS(C$17:C29))</f>
        <v>Rise on Cave Creek</v>
      </c>
      <c r="D29" s="61" t="str">
        <f aca="false">INDEX(Tape_Market,MATCH($C29,Tape_Property,0))</f>
        <v>Phoenix</v>
      </c>
      <c r="E29" s="57" t="n">
        <f aca="false">INDEX(Tape_Units,MATCH($C29,Tape_Property,0))</f>
        <v>141</v>
      </c>
      <c r="F29" s="49" t="n">
        <f aca="false">INDEX(SSP_NOI_UW_Rng,MATCH($C29,SSP_Asset,0))</f>
        <v>1413733.05682845</v>
      </c>
      <c r="G29" s="49" t="n">
        <f aca="false">INDEX(SSP_NOI_Rng,MATCH($C29,SSP_Asset,0))</f>
        <v>1322908.14566371</v>
      </c>
      <c r="H29" s="49" t="n">
        <f aca="false">INDEX(SSP_Value_Rng,MATCH($C29,SSP_Asset,0))</f>
        <v>24050000</v>
      </c>
      <c r="I29" s="49" t="n">
        <f aca="false">INDEX(Tape_ALA,MATCH($C29,Tape_Property,0))</f>
        <v>22800000</v>
      </c>
      <c r="J29" s="26" t="n">
        <f aca="false">I29/H29</f>
        <v>0.948024948024948</v>
      </c>
      <c r="K29" s="14" t="n">
        <f aca="false">G29/I29</f>
        <v>0.0580222870905134</v>
      </c>
      <c r="L29" s="62" t="n">
        <f aca="false">INDEX(EconOcc_TTM,MATCH($C29,Tape_Property,0))</f>
        <v>0.871</v>
      </c>
      <c r="M29" s="78" t="n">
        <f aca="false">IF(SUMIFS($I$17:$I$39,$J$17:$J$39,"&lt;="&amp;$J29)&lt;=$E$10,1,0)</f>
        <v>0</v>
      </c>
      <c r="N29" s="78" t="n">
        <f aca="false">IF(SUMIFS($I$17:$I$39,$K$17:$K$39,"&gt;="&amp;$K29)&lt;=$E$10,1,0)</f>
        <v>0</v>
      </c>
      <c r="O29" s="78" t="n">
        <f aca="false">IF($J29&lt;$J$40,1,0)</f>
        <v>0</v>
      </c>
      <c r="P29" s="78" t="n">
        <f aca="false">IF($D29="Phoenix",1,0)</f>
        <v>1</v>
      </c>
      <c r="Q29" s="78" t="n">
        <f aca="false">IF($D29="Dallas-Fort Worth",1,0)</f>
        <v>0</v>
      </c>
      <c r="R29" s="78" t="n">
        <f aca="false">IF($L29&gt;=$E$8,1,0)</f>
        <v>0</v>
      </c>
    </row>
    <row r="30" customFormat="false" ht="15" hidden="false" customHeight="false" outlineLevel="0" collapsed="false">
      <c r="C30" s="65" t="str">
        <f aca="false">INDEX(SSP_Asset,ROWS(C$17:C30))</f>
        <v>Rise West Arlington</v>
      </c>
      <c r="D30" s="65" t="str">
        <f aca="false">INDEX(Tape_Market,MATCH($C30,Tape_Property,0))</f>
        <v>Dallas-Fort Worth</v>
      </c>
      <c r="E30" s="66" t="n">
        <f aca="false">INDEX(Tape_Units,MATCH($C30,Tape_Property,0))</f>
        <v>220</v>
      </c>
      <c r="F30" s="51" t="n">
        <f aca="false">INDEX(SSP_NOI_UW_Rng,MATCH($C30,SSP_Asset,0))</f>
        <v>1654127.04112039</v>
      </c>
      <c r="G30" s="51" t="n">
        <f aca="false">INDEX(SSP_NOI_Rng,MATCH($C30,SSP_Asset,0))</f>
        <v>966489.934893808</v>
      </c>
      <c r="H30" s="51" t="n">
        <f aca="false">INDEX(SSP_Value_Rng,MATCH($C30,SSP_Asset,0))</f>
        <v>15460000</v>
      </c>
      <c r="I30" s="51" t="n">
        <f aca="false">INDEX(Tape_ALA,MATCH($C30,Tape_Property,0))</f>
        <v>22000000</v>
      </c>
      <c r="J30" s="34" t="n">
        <f aca="false">I30/H30</f>
        <v>1.42302716688228</v>
      </c>
      <c r="K30" s="35" t="n">
        <f aca="false">G30/I30</f>
        <v>0.0439313606769913</v>
      </c>
      <c r="L30" s="67" t="n">
        <f aca="false">INDEX(EconOcc_TTM,MATCH($C30,Tape_Property,0))</f>
        <v>0.872</v>
      </c>
      <c r="M30" s="79" t="n">
        <f aca="false">IF(SUMIFS($I$17:$I$39,$J$17:$J$39,"&lt;="&amp;$J30)&lt;=$E$10,1,0)</f>
        <v>0</v>
      </c>
      <c r="N30" s="79" t="n">
        <f aca="false">IF(SUMIFS($I$17:$I$39,$K$17:$K$39,"&gt;="&amp;$K30)&lt;=$E$10,1,0)</f>
        <v>0</v>
      </c>
      <c r="O30" s="79" t="n">
        <f aca="false">IF($J30&lt;$J$40,1,0)</f>
        <v>0</v>
      </c>
      <c r="P30" s="79" t="n">
        <f aca="false">IF($D30="Phoenix",1,0)</f>
        <v>0</v>
      </c>
      <c r="Q30" s="79" t="n">
        <f aca="false">IF($D30="Dallas-Fort Worth",1,0)</f>
        <v>1</v>
      </c>
      <c r="R30" s="79" t="n">
        <f aca="false">IF($L30&gt;=$E$8,1,0)</f>
        <v>0</v>
      </c>
    </row>
    <row r="31" customFormat="false" ht="15" hidden="false" customHeight="false" outlineLevel="0" collapsed="false">
      <c r="C31" s="61" t="str">
        <f aca="false">INDEX(SSP_Asset,ROWS(C$17:C31))</f>
        <v>Rise Heather Ridge</v>
      </c>
      <c r="D31" s="61" t="str">
        <f aca="false">INDEX(Tape_Market,MATCH($C31,Tape_Property,0))</f>
        <v>Dallas-Fort Worth</v>
      </c>
      <c r="E31" s="57" t="n">
        <f aca="false">INDEX(Tape_Units,MATCH($C31,Tape_Property,0))</f>
        <v>252</v>
      </c>
      <c r="F31" s="49" t="n">
        <f aca="false">INDEX(SSP_NOI_UW_Rng,MATCH($C31,SSP_Asset,0))</f>
        <v>1678526.16718487</v>
      </c>
      <c r="G31" s="49" t="n">
        <f aca="false">INDEX(SSP_NOI_Rng,MATCH($C31,SSP_Asset,0))</f>
        <v>1506753.92465221</v>
      </c>
      <c r="H31" s="49" t="n">
        <f aca="false">INDEX(SSP_Value_Rng,MATCH($C31,SSP_Asset,0))</f>
        <v>24110000</v>
      </c>
      <c r="I31" s="49" t="n">
        <f aca="false">INDEX(Tape_ALA,MATCH($C31,Tape_Property,0))</f>
        <v>22000000</v>
      </c>
      <c r="J31" s="26" t="n">
        <f aca="false">I31/H31</f>
        <v>0.912484446287847</v>
      </c>
      <c r="K31" s="14" t="n">
        <f aca="false">G31/I31</f>
        <v>0.0684888147569188</v>
      </c>
      <c r="L31" s="62" t="n">
        <f aca="false">INDEX(EconOcc_TTM,MATCH($C31,Tape_Property,0))</f>
        <v>0.9</v>
      </c>
      <c r="M31" s="78" t="n">
        <f aca="false">IF(SUMIFS($I$17:$I$39,$J$17:$J$39,"&lt;="&amp;$J31)&lt;=$E$10,1,0)</f>
        <v>0</v>
      </c>
      <c r="N31" s="78" t="n">
        <f aca="false">IF(SUMIFS($I$17:$I$39,$K$17:$K$39,"&gt;="&amp;$K31)&lt;=$E$10,1,0)</f>
        <v>1</v>
      </c>
      <c r="O31" s="78" t="n">
        <f aca="false">IF($J31&lt;$J$40,1,0)</f>
        <v>1</v>
      </c>
      <c r="P31" s="78" t="n">
        <f aca="false">IF($D31="Phoenix",1,0)</f>
        <v>0</v>
      </c>
      <c r="Q31" s="78" t="n">
        <f aca="false">IF($D31="Dallas-Fort Worth",1,0)</f>
        <v>1</v>
      </c>
      <c r="R31" s="78" t="n">
        <f aca="false">IF($L31&gt;=$E$8,1,0)</f>
        <v>0</v>
      </c>
    </row>
    <row r="32" customFormat="false" ht="15" hidden="false" customHeight="false" outlineLevel="0" collapsed="false">
      <c r="C32" s="65" t="str">
        <f aca="false">INDEX(SSP_Asset,ROWS(C$17:C32))</f>
        <v>Rise on Cactus</v>
      </c>
      <c r="D32" s="65" t="str">
        <f aca="false">INDEX(Tape_Market,MATCH($C32,Tape_Property,0))</f>
        <v>Phoenix</v>
      </c>
      <c r="E32" s="66" t="n">
        <f aca="false">INDEX(Tape_Units,MATCH($C32,Tape_Property,0))</f>
        <v>124</v>
      </c>
      <c r="F32" s="51" t="n">
        <f aca="false">INDEX(SSP_NOI_UW_Rng,MATCH($C32,SSP_Asset,0))</f>
        <v>1311274.03007333</v>
      </c>
      <c r="G32" s="51" t="n">
        <f aca="false">INDEX(SSP_NOI_Rng,MATCH($C32,SSP_Asset,0))</f>
        <v>1107577.9954485</v>
      </c>
      <c r="H32" s="51" t="n">
        <f aca="false">INDEX(SSP_Value_Rng,MATCH($C32,SSP_Asset,0))</f>
        <v>20140000</v>
      </c>
      <c r="I32" s="51" t="n">
        <f aca="false">INDEX(Tape_ALA,MATCH($C32,Tape_Property,0))</f>
        <v>20500000</v>
      </c>
      <c r="J32" s="34" t="n">
        <f aca="false">I32/H32</f>
        <v>1.01787487586892</v>
      </c>
      <c r="K32" s="35" t="n">
        <f aca="false">G32/I32</f>
        <v>0.054028194899927</v>
      </c>
      <c r="L32" s="67" t="n">
        <f aca="false">INDEX(EconOcc_TTM,MATCH($C32,Tape_Property,0))</f>
        <v>0.896</v>
      </c>
      <c r="M32" s="79" t="n">
        <f aca="false">IF(SUMIFS($I$17:$I$39,$J$17:$J$39,"&lt;="&amp;$J32)&lt;=$E$10,1,0)</f>
        <v>0</v>
      </c>
      <c r="N32" s="79" t="n">
        <f aca="false">IF(SUMIFS($I$17:$I$39,$K$17:$K$39,"&gt;="&amp;$K32)&lt;=$E$10,1,0)</f>
        <v>0</v>
      </c>
      <c r="O32" s="79" t="n">
        <f aca="false">IF($J32&lt;$J$40,1,0)</f>
        <v>0</v>
      </c>
      <c r="P32" s="79" t="n">
        <f aca="false">IF($D32="Phoenix",1,0)</f>
        <v>1</v>
      </c>
      <c r="Q32" s="79" t="n">
        <f aca="false">IF($D32="Dallas-Fort Worth",1,0)</f>
        <v>0</v>
      </c>
      <c r="R32" s="79" t="n">
        <f aca="false">IF($L32&gt;=$E$8,1,0)</f>
        <v>0</v>
      </c>
    </row>
    <row r="33" customFormat="false" ht="15" hidden="false" customHeight="false" outlineLevel="0" collapsed="false">
      <c r="C33" s="61" t="str">
        <f aca="false">INDEX(SSP_Asset,ROWS(C$17:C33))</f>
        <v>Rise on McClintock</v>
      </c>
      <c r="D33" s="61" t="str">
        <f aca="false">INDEX(Tape_Market,MATCH($C33,Tape_Property,0))</f>
        <v>Phoenix</v>
      </c>
      <c r="E33" s="57" t="n">
        <f aca="false">INDEX(Tape_Units,MATCH($C33,Tape_Property,0))</f>
        <v>112</v>
      </c>
      <c r="F33" s="49" t="n">
        <f aca="false">INDEX(SSP_NOI_UW_Rng,MATCH($C33,SSP_Asset,0))</f>
        <v>1298846.93500456</v>
      </c>
      <c r="G33" s="49" t="n">
        <f aca="false">INDEX(SSP_NOI_Rng,MATCH($C33,SSP_Asset,0))</f>
        <v>1321501.528</v>
      </c>
      <c r="H33" s="49" t="n">
        <f aca="false">INDEX(SSP_Value_Rng,MATCH($C33,SSP_Asset,0))</f>
        <v>24030000</v>
      </c>
      <c r="I33" s="49" t="n">
        <f aca="false">INDEX(Tape_ALA,MATCH($C33,Tape_Property,0))</f>
        <v>20400000</v>
      </c>
      <c r="J33" s="26" t="n">
        <f aca="false">I33/H33</f>
        <v>0.848938826466916</v>
      </c>
      <c r="K33" s="14" t="n">
        <f aca="false">G33/I33</f>
        <v>0.0647794866666667</v>
      </c>
      <c r="L33" s="62" t="n">
        <f aca="false">INDEX(EconOcc_TTM,MATCH($C33,Tape_Property,0))</f>
        <v>0.939</v>
      </c>
      <c r="M33" s="78" t="n">
        <f aca="false">IF(SUMIFS($I$17:$I$39,$J$17:$J$39,"&lt;="&amp;$J33)&lt;=$E$10,1,0)</f>
        <v>1</v>
      </c>
      <c r="N33" s="78" t="n">
        <f aca="false">IF(SUMIFS($I$17:$I$39,$K$17:$K$39,"&gt;="&amp;$K33)&lt;=$E$10,1,0)</f>
        <v>0</v>
      </c>
      <c r="O33" s="78" t="n">
        <f aca="false">IF($J33&lt;$J$40,1,0)</f>
        <v>1</v>
      </c>
      <c r="P33" s="78" t="n">
        <f aca="false">IF($D33="Phoenix",1,0)</f>
        <v>1</v>
      </c>
      <c r="Q33" s="78" t="n">
        <f aca="false">IF($D33="Dallas-Fort Worth",1,0)</f>
        <v>0</v>
      </c>
      <c r="R33" s="78" t="n">
        <f aca="false">IF($L33&gt;=$E$8,1,0)</f>
        <v>1</v>
      </c>
    </row>
    <row r="34" customFormat="false" ht="15" hidden="false" customHeight="false" outlineLevel="0" collapsed="false">
      <c r="C34" s="65" t="str">
        <f aca="false">INDEX(SSP_Asset,ROWS(C$17:C34))</f>
        <v>Rise at Town East</v>
      </c>
      <c r="D34" s="65" t="str">
        <f aca="false">INDEX(Tape_Market,MATCH($C34,Tape_Property,0))</f>
        <v>Dallas-Fort Worth</v>
      </c>
      <c r="E34" s="66" t="n">
        <f aca="false">INDEX(Tape_Units,MATCH($C34,Tape_Property,0))</f>
        <v>210</v>
      </c>
      <c r="F34" s="51" t="n">
        <f aca="false">INDEX(SSP_NOI_UW_Rng,MATCH($C34,SSP_Asset,0))</f>
        <v>1510662.17736428</v>
      </c>
      <c r="G34" s="51" t="n">
        <f aca="false">INDEX(SSP_NOI_Rng,MATCH($C34,SSP_Asset,0))</f>
        <v>1261204.56928496</v>
      </c>
      <c r="H34" s="51" t="n">
        <f aca="false">INDEX(SSP_Value_Rng,MATCH($C34,SSP_Asset,0))</f>
        <v>20180000</v>
      </c>
      <c r="I34" s="51" t="n">
        <f aca="false">INDEX(Tape_ALA,MATCH($C34,Tape_Property,0))</f>
        <v>19000000</v>
      </c>
      <c r="J34" s="34" t="n">
        <f aca="false">I34/H34</f>
        <v>0.941526263627354</v>
      </c>
      <c r="K34" s="35" t="n">
        <f aca="false">G34/I34</f>
        <v>0.0663791878571034</v>
      </c>
      <c r="L34" s="67" t="n">
        <f aca="false">INDEX(EconOcc_TTM,MATCH($C34,Tape_Property,0))</f>
        <v>0.912</v>
      </c>
      <c r="M34" s="79" t="n">
        <f aca="false">IF(SUMIFS($I$17:$I$39,$J$17:$J$39,"&lt;="&amp;$J34)&lt;=$E$10,1,0)</f>
        <v>0</v>
      </c>
      <c r="N34" s="79" t="n">
        <f aca="false">IF(SUMIFS($I$17:$I$39,$K$17:$K$39,"&gt;="&amp;$K34)&lt;=$E$10,1,0)</f>
        <v>1</v>
      </c>
      <c r="O34" s="79" t="n">
        <f aca="false">IF($J34&lt;$J$40,1,0)</f>
        <v>1</v>
      </c>
      <c r="P34" s="79" t="n">
        <f aca="false">IF($D34="Phoenix",1,0)</f>
        <v>0</v>
      </c>
      <c r="Q34" s="79" t="n">
        <f aca="false">IF($D34="Dallas-Fort Worth",1,0)</f>
        <v>1</v>
      </c>
      <c r="R34" s="79" t="n">
        <f aca="false">IF($L34&gt;=$E$8,1,0)</f>
        <v>0</v>
      </c>
    </row>
    <row r="35" customFormat="false" ht="15" hidden="false" customHeight="false" outlineLevel="0" collapsed="false">
      <c r="C35" s="61" t="str">
        <f aca="false">INDEX(SSP_Asset,ROWS(C$17:C35))</f>
        <v>Rise at the Meadows</v>
      </c>
      <c r="D35" s="61" t="str">
        <f aca="false">INDEX(Tape_Market,MATCH($C35,Tape_Property,0))</f>
        <v>Phoenix</v>
      </c>
      <c r="E35" s="57" t="n">
        <f aca="false">INDEX(Tape_Units,MATCH($C35,Tape_Property,0))</f>
        <v>120</v>
      </c>
      <c r="F35" s="49" t="n">
        <f aca="false">INDEX(SSP_NOI_UW_Rng,MATCH($C35,SSP_Asset,0))</f>
        <v>1196792.92540067</v>
      </c>
      <c r="G35" s="49" t="n">
        <f aca="false">INDEX(SSP_NOI_Rng,MATCH($C35,SSP_Asset,0))</f>
        <v>1140199.7969</v>
      </c>
      <c r="H35" s="49" t="n">
        <f aca="false">INDEX(SSP_Value_Rng,MATCH($C35,SSP_Asset,0))</f>
        <v>20730000</v>
      </c>
      <c r="I35" s="49" t="n">
        <f aca="false">INDEX(Tape_ALA,MATCH($C35,Tape_Property,0))</f>
        <v>18900000</v>
      </c>
      <c r="J35" s="26" t="n">
        <f aca="false">I35/H35</f>
        <v>0.911722141823444</v>
      </c>
      <c r="K35" s="14" t="n">
        <f aca="false">G35/I35</f>
        <v>0.0603280315820106</v>
      </c>
      <c r="L35" s="62" t="n">
        <f aca="false">INDEX(EconOcc_TTM,MATCH($C35,Tape_Property,0))</f>
        <v>0.92</v>
      </c>
      <c r="M35" s="78" t="n">
        <f aca="false">IF(SUMIFS($I$17:$I$39,$J$17:$J$39,"&lt;="&amp;$J35)&lt;=$E$10,1,0)</f>
        <v>0</v>
      </c>
      <c r="N35" s="78" t="n">
        <f aca="false">IF(SUMIFS($I$17:$I$39,$K$17:$K$39,"&gt;="&amp;$K35)&lt;=$E$10,1,0)</f>
        <v>0</v>
      </c>
      <c r="O35" s="78" t="n">
        <f aca="false">IF($J35&lt;$J$40,1,0)</f>
        <v>1</v>
      </c>
      <c r="P35" s="78" t="n">
        <f aca="false">IF($D35="Phoenix",1,0)</f>
        <v>1</v>
      </c>
      <c r="Q35" s="78" t="n">
        <f aca="false">IF($D35="Dallas-Fort Worth",1,0)</f>
        <v>0</v>
      </c>
      <c r="R35" s="78" t="n">
        <f aca="false">IF($L35&gt;=$E$8,1,0)</f>
        <v>1</v>
      </c>
    </row>
    <row r="36" customFormat="false" ht="15" hidden="false" customHeight="false" outlineLevel="0" collapsed="false">
      <c r="C36" s="65" t="str">
        <f aca="false">INDEX(SSP_Asset,ROWS(C$17:C36))</f>
        <v>Rise Oak Creek</v>
      </c>
      <c r="D36" s="65" t="str">
        <f aca="false">INDEX(Tape_Market,MATCH($C36,Tape_Property,0))</f>
        <v>Dallas-Fort Worth</v>
      </c>
      <c r="E36" s="66" t="n">
        <f aca="false">INDEX(Tape_Units,MATCH($C36,Tape_Property,0))</f>
        <v>176</v>
      </c>
      <c r="F36" s="51" t="n">
        <f aca="false">INDEX(SSP_NOI_UW_Rng,MATCH($C36,SSP_Asset,0))</f>
        <v>1488001.12610492</v>
      </c>
      <c r="G36" s="51" t="n">
        <f aca="false">INDEX(SSP_NOI_Rng,MATCH($C36,SSP_Asset,0))</f>
        <v>1207199.724</v>
      </c>
      <c r="H36" s="51" t="n">
        <f aca="false">INDEX(SSP_Value_Rng,MATCH($C36,SSP_Asset,0))</f>
        <v>19320000</v>
      </c>
      <c r="I36" s="51" t="n">
        <f aca="false">INDEX(Tape_ALA,MATCH($C36,Tape_Property,0))</f>
        <v>18600000</v>
      </c>
      <c r="J36" s="34" t="n">
        <f aca="false">I36/H36</f>
        <v>0.962732919254658</v>
      </c>
      <c r="K36" s="35" t="n">
        <f aca="false">G36/I36</f>
        <v>0.0649032109677419</v>
      </c>
      <c r="L36" s="67" t="n">
        <f aca="false">INDEX(EconOcc_TTM,MATCH($C36,Tape_Property,0))</f>
        <v>0.895</v>
      </c>
      <c r="M36" s="79" t="n">
        <f aca="false">IF(SUMIFS($I$17:$I$39,$J$17:$J$39,"&lt;="&amp;$J36)&lt;=$E$10,1,0)</f>
        <v>0</v>
      </c>
      <c r="N36" s="79" t="n">
        <f aca="false">IF(SUMIFS($I$17:$I$39,$K$17:$K$39,"&gt;="&amp;$K36)&lt;=$E$10,1,0)</f>
        <v>0</v>
      </c>
      <c r="O36" s="79" t="n">
        <f aca="false">IF($J36&lt;$J$40,1,0)</f>
        <v>0</v>
      </c>
      <c r="P36" s="79" t="n">
        <f aca="false">IF($D36="Phoenix",1,0)</f>
        <v>0</v>
      </c>
      <c r="Q36" s="79" t="n">
        <f aca="false">IF($D36="Dallas-Fort Worth",1,0)</f>
        <v>1</v>
      </c>
      <c r="R36" s="79" t="n">
        <f aca="false">IF($L36&gt;=$E$8,1,0)</f>
        <v>0</v>
      </c>
    </row>
    <row r="37" customFormat="false" ht="15" hidden="false" customHeight="false" outlineLevel="0" collapsed="false">
      <c r="C37" s="61" t="str">
        <f aca="false">INDEX(SSP_Asset,ROWS(C$17:C37))</f>
        <v>Rise North Arlington</v>
      </c>
      <c r="D37" s="61" t="str">
        <f aca="false">INDEX(Tape_Market,MATCH($C37,Tape_Property,0))</f>
        <v>Dallas-Fort Worth</v>
      </c>
      <c r="E37" s="57" t="n">
        <f aca="false">INDEX(Tape_Units,MATCH($C37,Tape_Property,0))</f>
        <v>262</v>
      </c>
      <c r="F37" s="49" t="n">
        <f aca="false">INDEX(SSP_NOI_UW_Rng,MATCH($C37,SSP_Asset,0))</f>
        <v>1506728.22967855</v>
      </c>
      <c r="G37" s="49" t="n">
        <f aca="false">INDEX(SSP_NOI_Rng,MATCH($C37,SSP_Asset,0))</f>
        <v>1327071.09999362</v>
      </c>
      <c r="H37" s="49" t="n">
        <f aca="false">INDEX(SSP_Value_Rng,MATCH($C37,SSP_Asset,0))</f>
        <v>21230000</v>
      </c>
      <c r="I37" s="49" t="n">
        <f aca="false">INDEX(Tape_ALA,MATCH($C37,Tape_Property,0))</f>
        <v>18000000</v>
      </c>
      <c r="J37" s="26" t="n">
        <f aca="false">I37/H37</f>
        <v>0.847856806406029</v>
      </c>
      <c r="K37" s="14" t="n">
        <f aca="false">G37/I37</f>
        <v>0.0737261722218678</v>
      </c>
      <c r="L37" s="62" t="n">
        <f aca="false">INDEX(EconOcc_TTM,MATCH($C37,Tape_Property,0))</f>
        <v>0.857</v>
      </c>
      <c r="M37" s="78" t="n">
        <f aca="false">IF(SUMIFS($I$17:$I$39,$J$17:$J$39,"&lt;="&amp;$J37)&lt;=$E$10,1,0)</f>
        <v>1</v>
      </c>
      <c r="N37" s="78" t="n">
        <f aca="false">IF(SUMIFS($I$17:$I$39,$K$17:$K$39,"&gt;="&amp;$K37)&lt;=$E$10,1,0)</f>
        <v>1</v>
      </c>
      <c r="O37" s="78" t="n">
        <f aca="false">IF($J37&lt;$J$40,1,0)</f>
        <v>1</v>
      </c>
      <c r="P37" s="78" t="n">
        <f aca="false">IF($D37="Phoenix",1,0)</f>
        <v>0</v>
      </c>
      <c r="Q37" s="78" t="n">
        <f aca="false">IF($D37="Dallas-Fort Worth",1,0)</f>
        <v>1</v>
      </c>
      <c r="R37" s="78" t="n">
        <f aca="false">IF($L37&gt;=$E$8,1,0)</f>
        <v>0</v>
      </c>
    </row>
    <row r="38" customFormat="false" ht="15" hidden="false" customHeight="false" outlineLevel="0" collapsed="false">
      <c r="C38" s="65" t="str">
        <f aca="false">INDEX(SSP_Asset,ROWS(C$17:C38))</f>
        <v>Rise Gateway</v>
      </c>
      <c r="D38" s="65" t="str">
        <f aca="false">INDEX(Tape_Market,MATCH($C38,Tape_Property,0))</f>
        <v>Dallas-Fort Worth</v>
      </c>
      <c r="E38" s="66" t="n">
        <f aca="false">INDEX(Tape_Units,MATCH($C38,Tape_Property,0))</f>
        <v>142</v>
      </c>
      <c r="F38" s="51" t="n">
        <f aca="false">INDEX(SSP_NOI_UW_Rng,MATCH($C38,SSP_Asset,0))</f>
        <v>1057966.37362947</v>
      </c>
      <c r="G38" s="51" t="n">
        <f aca="false">INDEX(SSP_NOI_Rng,MATCH($C38,SSP_Asset,0))</f>
        <v>962388.2623</v>
      </c>
      <c r="H38" s="51" t="n">
        <f aca="false">INDEX(SSP_Value_Rng,MATCH($C38,SSP_Asset,0))</f>
        <v>15400000</v>
      </c>
      <c r="I38" s="51" t="n">
        <f aca="false">INDEX(Tape_ALA,MATCH($C38,Tape_Property,0))</f>
        <v>16100000</v>
      </c>
      <c r="J38" s="34" t="n">
        <f aca="false">I38/H38</f>
        <v>1.04545454545455</v>
      </c>
      <c r="K38" s="35" t="n">
        <f aca="false">G38/I38</f>
        <v>0.0597756684658385</v>
      </c>
      <c r="L38" s="67" t="n">
        <f aca="false">INDEX(EconOcc_TTM,MATCH($C38,Tape_Property,0))</f>
        <v>0.947</v>
      </c>
      <c r="M38" s="79" t="n">
        <f aca="false">IF(SUMIFS($I$17:$I$39,$J$17:$J$39,"&lt;="&amp;$J38)&lt;=$E$10,1,0)</f>
        <v>0</v>
      </c>
      <c r="N38" s="79" t="n">
        <f aca="false">IF(SUMIFS($I$17:$I$39,$K$17:$K$39,"&gt;="&amp;$K38)&lt;=$E$10,1,0)</f>
        <v>0</v>
      </c>
      <c r="O38" s="79" t="n">
        <f aca="false">IF($J38&lt;$J$40,1,0)</f>
        <v>0</v>
      </c>
      <c r="P38" s="79" t="n">
        <f aca="false">IF($D38="Phoenix",1,0)</f>
        <v>0</v>
      </c>
      <c r="Q38" s="79" t="n">
        <f aca="false">IF($D38="Dallas-Fort Worth",1,0)</f>
        <v>1</v>
      </c>
      <c r="R38" s="79" t="n">
        <f aca="false">IF($L38&gt;=$E$8,1,0)</f>
        <v>1</v>
      </c>
    </row>
    <row r="39" customFormat="false" ht="15" hidden="false" customHeight="false" outlineLevel="0" collapsed="false">
      <c r="C39" s="61" t="str">
        <f aca="false">INDEX(SSP_Asset,ROWS(C$17:C39))</f>
        <v>Rise Matthews Pointe</v>
      </c>
      <c r="D39" s="61" t="str">
        <f aca="false">INDEX(Tape_Market,MATCH($C39,Tape_Property,0))</f>
        <v>Charlotte</v>
      </c>
      <c r="E39" s="57" t="n">
        <f aca="false">INDEX(Tape_Units,MATCH($C39,Tape_Property,0))</f>
        <v>100</v>
      </c>
      <c r="F39" s="49" t="n">
        <f aca="false">INDEX(SSP_NOI_UW_Rng,MATCH($C39,SSP_Asset,0))</f>
        <v>877910.535012133</v>
      </c>
      <c r="G39" s="49" t="n">
        <f aca="false">INDEX(SSP_NOI_Rng,MATCH($C39,SSP_Asset,0))</f>
        <v>763784.589003834</v>
      </c>
      <c r="H39" s="49" t="n">
        <f aca="false">INDEX(SSP_Value_Rng,MATCH($C39,SSP_Asset,0))</f>
        <v>14550000</v>
      </c>
      <c r="I39" s="49" t="n">
        <f aca="false">INDEX(Tape_ALA,MATCH($C39,Tape_Property,0))</f>
        <v>14500000</v>
      </c>
      <c r="J39" s="26" t="n">
        <f aca="false">I39/H39</f>
        <v>0.996563573883162</v>
      </c>
      <c r="K39" s="14" t="n">
        <f aca="false">G39/I39</f>
        <v>0.0526747992416437</v>
      </c>
      <c r="L39" s="62" t="n">
        <f aca="false">INDEX(EconOcc_TTM,MATCH($C39,Tape_Property,0))</f>
        <v>0.927</v>
      </c>
      <c r="M39" s="78" t="n">
        <f aca="false">IF(SUMIFS($I$17:$I$39,$J$17:$J$39,"&lt;="&amp;$J39)&lt;=$E$10,1,0)</f>
        <v>0</v>
      </c>
      <c r="N39" s="78" t="n">
        <f aca="false">IF(SUMIFS($I$17:$I$39,$K$17:$K$39,"&gt;="&amp;$K39)&lt;=$E$10,1,0)</f>
        <v>0</v>
      </c>
      <c r="O39" s="78" t="n">
        <f aca="false">IF($J39&lt;$J$40,1,0)</f>
        <v>0</v>
      </c>
      <c r="P39" s="78" t="n">
        <f aca="false">IF($D39="Phoenix",1,0)</f>
        <v>0</v>
      </c>
      <c r="Q39" s="78" t="n">
        <f aca="false">IF($D39="Dallas-Fort Worth",1,0)</f>
        <v>0</v>
      </c>
      <c r="R39" s="78" t="n">
        <f aca="false">IF($L39&gt;=$E$8,1,0)</f>
        <v>1</v>
      </c>
    </row>
    <row r="40" customFormat="false" ht="15" hidden="false" customHeight="false" outlineLevel="0" collapsed="false">
      <c r="C40" s="41" t="s">
        <v>185</v>
      </c>
      <c r="D40" s="42"/>
      <c r="E40" s="47" t="n">
        <f aca="false">SUM(E17:E39)</f>
        <v>4848</v>
      </c>
      <c r="F40" s="43" t="n">
        <f aca="false">SUM(F17:F39)</f>
        <v>41209415.209242</v>
      </c>
      <c r="G40" s="43" t="n">
        <f aca="false">SUM(G17:G39)</f>
        <v>36519450.4775937</v>
      </c>
      <c r="H40" s="43" t="n">
        <f aca="false">SUM(H17:H39)</f>
        <v>631630000</v>
      </c>
      <c r="I40" s="43" t="n">
        <f aca="false">SUM(I17:I39)</f>
        <v>598500000</v>
      </c>
      <c r="J40" s="44" t="n">
        <f aca="false">I40/H40</f>
        <v>0.947548406503808</v>
      </c>
      <c r="K40" s="46" t="n">
        <f aca="false">G40/I40</f>
        <v>0.0610182965373328</v>
      </c>
      <c r="L40" s="44" t="n">
        <f aca="false">SUMPRODUCT(L17:L39,E17:E39)/E40</f>
        <v>0.900368605610561</v>
      </c>
      <c r="M40" s="80" t="n">
        <f aca="false">SUM(M17:M39)</f>
        <v>3</v>
      </c>
      <c r="N40" s="80" t="n">
        <f aca="false">SUM(N17:N39)</f>
        <v>5</v>
      </c>
      <c r="O40" s="80" t="n">
        <f aca="false">SUM(O17:O39)</f>
        <v>12</v>
      </c>
      <c r="P40" s="80" t="n">
        <f aca="false">SUM(P17:P39)</f>
        <v>9</v>
      </c>
      <c r="Q40" s="80" t="n">
        <f aca="false">SUM(Q17:Q39)</f>
        <v>12</v>
      </c>
      <c r="R40" s="80" t="n">
        <f aca="false">SUM(R17:R39)</f>
        <v>7</v>
      </c>
    </row>
    <row r="43" customFormat="false" ht="15" hidden="false" customHeight="false" outlineLevel="0" collapsed="false">
      <c r="C43" s="21" t="s">
        <v>319</v>
      </c>
    </row>
    <row r="44" customFormat="false" ht="15" hidden="false" customHeight="false" outlineLevel="0" collapsed="false">
      <c r="C44" s="2" t="s">
        <v>320</v>
      </c>
      <c r="D44" s="5" t="s">
        <v>153</v>
      </c>
      <c r="E44" s="5" t="s">
        <v>313</v>
      </c>
      <c r="F44" s="5" t="s">
        <v>314</v>
      </c>
      <c r="G44" s="5" t="s">
        <v>315</v>
      </c>
      <c r="H44" s="5" t="s">
        <v>316</v>
      </c>
      <c r="I44" s="5" t="s">
        <v>317</v>
      </c>
      <c r="J44" s="5" t="s">
        <v>318</v>
      </c>
    </row>
    <row r="45" customFormat="false" ht="69.75" hidden="false" customHeight="true" outlineLevel="0" collapsed="false">
      <c r="C45" s="2" t="s">
        <v>321</v>
      </c>
      <c r="D45" s="5"/>
      <c r="E45" s="22" t="s">
        <v>322</v>
      </c>
      <c r="F45" s="22" t="s">
        <v>323</v>
      </c>
      <c r="G45" s="22" t="s">
        <v>324</v>
      </c>
      <c r="H45" s="22" t="s">
        <v>325</v>
      </c>
      <c r="I45" s="22" t="s">
        <v>326</v>
      </c>
      <c r="J45" s="22" t="str">
        <f aca="false">"Sell all assets with TTM economic occupancy of "&amp;TEXT($E$8,"0.0%")&amp;" or higher"</f>
        <v>Sell all assets with TTM economic occupancy of 92.0% or higher</v>
      </c>
    </row>
    <row r="46" customFormat="false" ht="15" hidden="false" customHeight="false" outlineLevel="0" collapsed="false">
      <c r="C46" s="23" t="s">
        <v>327</v>
      </c>
      <c r="E46" s="29" t="n">
        <f aca="false">SUM(M$17:M$39)</f>
        <v>3</v>
      </c>
      <c r="F46" s="29" t="n">
        <f aca="false">SUM(N$17:N$39)</f>
        <v>5</v>
      </c>
      <c r="G46" s="29" t="n">
        <f aca="false">SUM(O$17:O$39)</f>
        <v>12</v>
      </c>
      <c r="H46" s="29" t="n">
        <f aca="false">SUM(P$17:P$39)</f>
        <v>9</v>
      </c>
      <c r="I46" s="29" t="n">
        <f aca="false">SUM(Q$17:Q$39)</f>
        <v>12</v>
      </c>
      <c r="J46" s="29" t="n">
        <f aca="false">SUM(R$17:R$39)</f>
        <v>7</v>
      </c>
    </row>
    <row r="47" customFormat="false" ht="15" hidden="false" customHeight="false" outlineLevel="0" collapsed="false">
      <c r="C47" s="30" t="s">
        <v>328</v>
      </c>
      <c r="D47" s="11"/>
      <c r="E47" s="38" t="n">
        <f aca="false">SUMPRODUCT(M$17:M$39,$E$17:$E$39)</f>
        <v>560</v>
      </c>
      <c r="F47" s="38" t="n">
        <f aca="false">SUMPRODUCT(N$17:N$39,$E$17:$E$39)</f>
        <v>1271</v>
      </c>
      <c r="G47" s="38" t="n">
        <f aca="false">SUMPRODUCT(O$17:O$39,$E$17:$E$39)</f>
        <v>2577</v>
      </c>
      <c r="H47" s="38" t="n">
        <f aca="false">SUMPRODUCT(P$17:P$39,$E$17:$E$39)</f>
        <v>1623</v>
      </c>
      <c r="I47" s="38" t="n">
        <f aca="false">SUMPRODUCT(Q$17:Q$39,$E$17:$E$39)</f>
        <v>2885</v>
      </c>
      <c r="J47" s="38" t="n">
        <f aca="false">SUMPRODUCT(R$17:R$39,$E$17:$E$39)</f>
        <v>1124</v>
      </c>
    </row>
    <row r="48" customFormat="false" ht="15" hidden="false" customHeight="false" outlineLevel="0" collapsed="false">
      <c r="C48" s="23" t="s">
        <v>329</v>
      </c>
      <c r="E48" s="81" t="n">
        <f aca="false">E47/$E$40</f>
        <v>0.115511551155116</v>
      </c>
      <c r="F48" s="81" t="n">
        <f aca="false">F47/$E$40</f>
        <v>0.2621699669967</v>
      </c>
      <c r="G48" s="81" t="n">
        <f aca="false">G47/$E$40</f>
        <v>0.531559405940594</v>
      </c>
      <c r="H48" s="81" t="n">
        <f aca="false">H47/$E$40</f>
        <v>0.334777227722772</v>
      </c>
      <c r="I48" s="81" t="n">
        <f aca="false">I47/$E$40</f>
        <v>0.595090759075908</v>
      </c>
      <c r="J48" s="81" t="n">
        <f aca="false">J47/$E$40</f>
        <v>0.231848184818482</v>
      </c>
    </row>
    <row r="49" customFormat="false" ht="15" hidden="false" customHeight="false" outlineLevel="0" collapsed="false">
      <c r="C49" s="30" t="s">
        <v>330</v>
      </c>
      <c r="D49" s="11"/>
      <c r="E49" s="82" t="n">
        <f aca="false">SUMPRODUCT(M$17:M$39,$I$17:$I$39)</f>
        <v>70300000</v>
      </c>
      <c r="F49" s="82" t="n">
        <f aca="false">SUMPRODUCT(N$17:N$39,$I$17:$I$39)</f>
        <v>108300000</v>
      </c>
      <c r="G49" s="82" t="n">
        <f aca="false">SUMPRODUCT(O$17:O$39,$I$17:$I$39)</f>
        <v>319500000</v>
      </c>
      <c r="H49" s="82" t="n">
        <f aca="false">SUMPRODUCT(P$17:P$39,$I$17:$I$39)</f>
        <v>256500000</v>
      </c>
      <c r="I49" s="82" t="n">
        <f aca="false">SUMPRODUCT(Q$17:Q$39,$I$17:$I$39)</f>
        <v>294200000</v>
      </c>
      <c r="J49" s="82" t="n">
        <f aca="false">SUMPRODUCT(R$17:R$39,$I$17:$I$39)</f>
        <v>158200000</v>
      </c>
    </row>
    <row r="50" customFormat="false" ht="15" hidden="false" customHeight="false" outlineLevel="0" collapsed="false">
      <c r="C50" s="23" t="s">
        <v>331</v>
      </c>
      <c r="E50" s="81" t="n">
        <f aca="false">E49/$I$40</f>
        <v>0.117460317460317</v>
      </c>
      <c r="F50" s="81" t="n">
        <f aca="false">F49/$I$40</f>
        <v>0.180952380952381</v>
      </c>
      <c r="G50" s="81" t="n">
        <f aca="false">G49/$I$40</f>
        <v>0.533834586466165</v>
      </c>
      <c r="H50" s="81" t="n">
        <f aca="false">H49/$I$40</f>
        <v>0.428571428571429</v>
      </c>
      <c r="I50" s="81" t="n">
        <f aca="false">I49/$I$40</f>
        <v>0.49156223893066</v>
      </c>
      <c r="J50" s="81" t="n">
        <f aca="false">J49/$I$40</f>
        <v>0.264327485380117</v>
      </c>
    </row>
    <row r="51" customFormat="false" ht="15" hidden="false" customHeight="false" outlineLevel="0" collapsed="false">
      <c r="C51" s="30" t="s">
        <v>332</v>
      </c>
      <c r="D51" s="11"/>
      <c r="E51" s="82" t="n">
        <f aca="false">MIN(E49,$E$10)</f>
        <v>70300000</v>
      </c>
      <c r="F51" s="82" t="n">
        <f aca="false">MIN(F49,$E$10)</f>
        <v>108300000</v>
      </c>
      <c r="G51" s="82" t="n">
        <f aca="false">MIN(G49,$E$10)</f>
        <v>109700000</v>
      </c>
      <c r="H51" s="82" t="n">
        <f aca="false">MIN(H49,$E$10)</f>
        <v>109700000</v>
      </c>
      <c r="I51" s="82" t="n">
        <f aca="false">MIN(I49,$E$10)</f>
        <v>109700000</v>
      </c>
      <c r="J51" s="82" t="n">
        <f aca="false">MIN(J49,$E$10)</f>
        <v>109700000</v>
      </c>
    </row>
    <row r="52" customFormat="false" ht="15" hidden="false" customHeight="false" outlineLevel="0" collapsed="false">
      <c r="C52" s="23" t="s">
        <v>333</v>
      </c>
      <c r="E52" s="83" t="n">
        <f aca="false">E49-E51</f>
        <v>0</v>
      </c>
      <c r="F52" s="83" t="n">
        <f aca="false">F49-F51</f>
        <v>0</v>
      </c>
      <c r="G52" s="83" t="n">
        <f aca="false">G49-G51</f>
        <v>209800000</v>
      </c>
      <c r="H52" s="83" t="n">
        <f aca="false">H49-H51</f>
        <v>146800000</v>
      </c>
      <c r="I52" s="83" t="n">
        <f aca="false">I49-I51</f>
        <v>184500000</v>
      </c>
      <c r="J52" s="83" t="n">
        <f aca="false">J49-J51</f>
        <v>48500000</v>
      </c>
    </row>
    <row r="53" customFormat="false" ht="15" hidden="false" customHeight="false" outlineLevel="0" collapsed="false">
      <c r="C53" s="84" t="s">
        <v>334</v>
      </c>
      <c r="D53" s="11"/>
      <c r="E53" s="85" t="n">
        <f aca="false">E51*Rel_Tier1+E52*Rel_Tier2</f>
        <v>77330000</v>
      </c>
      <c r="F53" s="85" t="n">
        <f aca="false">F51*Rel_Tier1+F52*Rel_Tier2</f>
        <v>119130000</v>
      </c>
      <c r="G53" s="85" t="n">
        <f aca="false">G51*Rel_Tier1+G52*Rel_Tier2</f>
        <v>361940000</v>
      </c>
      <c r="H53" s="85" t="n">
        <f aca="false">H51*Rel_Tier1+H52*Rel_Tier2</f>
        <v>289490000</v>
      </c>
      <c r="I53" s="85" t="n">
        <f aca="false">I51*Rel_Tier1+I52*Rel_Tier2</f>
        <v>332845000</v>
      </c>
      <c r="J53" s="85" t="n">
        <f aca="false">J51*Rel_Tier1+J52*Rel_Tier2</f>
        <v>176445000</v>
      </c>
    </row>
    <row r="54" customFormat="false" ht="15" hidden="false" customHeight="false" outlineLevel="0" collapsed="false">
      <c r="C54" s="23" t="s">
        <v>335</v>
      </c>
      <c r="E54" s="83" t="n">
        <f aca="false">E53-E49</f>
        <v>7030000</v>
      </c>
      <c r="F54" s="83" t="n">
        <f aca="false">F53-F49</f>
        <v>10830000</v>
      </c>
      <c r="G54" s="83" t="n">
        <f aca="false">G53-G49</f>
        <v>42440000</v>
      </c>
      <c r="H54" s="83" t="n">
        <f aca="false">H53-H49</f>
        <v>32990000</v>
      </c>
      <c r="I54" s="83" t="n">
        <f aca="false">I53-I49</f>
        <v>38645000</v>
      </c>
      <c r="J54" s="83" t="n">
        <f aca="false">J53-J49</f>
        <v>18245000</v>
      </c>
    </row>
    <row r="55" customFormat="false" ht="15" hidden="false" customHeight="false" outlineLevel="0" collapsed="false">
      <c r="C55" s="30" t="s">
        <v>336</v>
      </c>
      <c r="D55" s="11"/>
      <c r="E55" s="82" t="n">
        <f aca="false">MIN(E53*$E$12,Mortgage_Bal)</f>
        <v>70869682.5396825</v>
      </c>
      <c r="F55" s="82" t="n">
        <f aca="false">MIN(F53*$E$12,Mortgage_Bal)</f>
        <v>109177619.047619</v>
      </c>
      <c r="G55" s="82" t="n">
        <f aca="false">MIN(G53*$E$12,Mortgage_Bal)</f>
        <v>331702740.183793</v>
      </c>
      <c r="H55" s="82" t="n">
        <f aca="false">MIN(H53*$E$12,Mortgage_Bal)</f>
        <v>265305371.76274</v>
      </c>
      <c r="I55" s="82" t="n">
        <f aca="false">MIN(I53*$E$12,Mortgage_Bal)</f>
        <v>305038400.167084</v>
      </c>
      <c r="J55" s="82" t="n">
        <f aca="false">MIN(J53*$E$12,Mortgage_Bal)</f>
        <v>161704398.496241</v>
      </c>
    </row>
    <row r="56" customFormat="false" ht="15" hidden="false" customHeight="false" outlineLevel="0" collapsed="false">
      <c r="C56" s="23" t="s">
        <v>337</v>
      </c>
      <c r="E56" s="83" t="n">
        <f aca="false">MIN(E53-E55,Mezz_Bal)</f>
        <v>6460317.46031746</v>
      </c>
      <c r="F56" s="83" t="n">
        <f aca="false">MIN(F53-F55,Mezz_Bal)</f>
        <v>9952380.95238096</v>
      </c>
      <c r="G56" s="83" t="n">
        <f aca="false">MIN(G53-G55,Mezz_Bal)</f>
        <v>30237259.8162072</v>
      </c>
      <c r="H56" s="83" t="n">
        <f aca="false">MIN(H53-H55,Mezz_Bal)</f>
        <v>24184628.2372598</v>
      </c>
      <c r="I56" s="83" t="n">
        <f aca="false">MIN(I53-I55,Mezz_Bal)</f>
        <v>27806599.8329156</v>
      </c>
      <c r="J56" s="83" t="n">
        <f aca="false">MIN(J53-J55,Mezz_Bal)</f>
        <v>14740601.5037594</v>
      </c>
    </row>
    <row r="57" customFormat="false" ht="15" hidden="false" customHeight="false" outlineLevel="0" collapsed="false">
      <c r="C57" s="84" t="s">
        <v>338</v>
      </c>
      <c r="D57" s="11"/>
      <c r="E57" s="85" t="n">
        <f aca="false">Mortgage_Bal-E55</f>
        <v>477630317.460318</v>
      </c>
      <c r="F57" s="85" t="n">
        <f aca="false">Mortgage_Bal-F55</f>
        <v>439322380.952381</v>
      </c>
      <c r="G57" s="85" t="n">
        <f aca="false">Mortgage_Bal-G55</f>
        <v>216797259.816207</v>
      </c>
      <c r="H57" s="85" t="n">
        <f aca="false">Mortgage_Bal-H55</f>
        <v>283194628.23726</v>
      </c>
      <c r="I57" s="85" t="n">
        <f aca="false">Mortgage_Bal-I55</f>
        <v>243461599.832916</v>
      </c>
      <c r="J57" s="85" t="n">
        <f aca="false">Mortgage_Bal-J55</f>
        <v>386795601.503759</v>
      </c>
    </row>
    <row r="58" customFormat="false" ht="15" hidden="false" customHeight="false" outlineLevel="0" collapsed="false">
      <c r="C58" s="23" t="s">
        <v>339</v>
      </c>
      <c r="E58" s="83" t="n">
        <f aca="false">Mezz_Bal-E56</f>
        <v>43539682.5396825</v>
      </c>
      <c r="F58" s="83" t="n">
        <f aca="false">Mezz_Bal-F56</f>
        <v>40047619.047619</v>
      </c>
      <c r="G58" s="83" t="n">
        <f aca="false">Mezz_Bal-G56</f>
        <v>19762740.1837928</v>
      </c>
      <c r="H58" s="83" t="n">
        <f aca="false">Mezz_Bal-H56</f>
        <v>25815371.7627402</v>
      </c>
      <c r="I58" s="83" t="n">
        <f aca="false">Mezz_Bal-I56</f>
        <v>22193400.1670844</v>
      </c>
      <c r="J58" s="83" t="n">
        <f aca="false">Mezz_Bal-J56</f>
        <v>35259398.4962406</v>
      </c>
    </row>
    <row r="59" customFormat="false" ht="15" hidden="false" customHeight="false" outlineLevel="0" collapsed="false">
      <c r="C59" s="84" t="s">
        <v>340</v>
      </c>
      <c r="D59" s="11"/>
      <c r="E59" s="85" t="n">
        <f aca="false">E57+E58</f>
        <v>521170000</v>
      </c>
      <c r="F59" s="85" t="n">
        <f aca="false">F57+F58</f>
        <v>479370000</v>
      </c>
      <c r="G59" s="85" t="n">
        <f aca="false">G57+G58</f>
        <v>236560000</v>
      </c>
      <c r="H59" s="85" t="n">
        <f aca="false">H57+H58</f>
        <v>309010000</v>
      </c>
      <c r="I59" s="85" t="n">
        <f aca="false">I57+I58</f>
        <v>265655000</v>
      </c>
      <c r="J59" s="85" t="n">
        <f aca="false">J57+J58</f>
        <v>422055000</v>
      </c>
    </row>
    <row r="60" customFormat="false" ht="15" hidden="false" customHeight="false" outlineLevel="0" collapsed="false">
      <c r="C60" s="23" t="s">
        <v>341</v>
      </c>
      <c r="E60" s="29" t="n">
        <f aca="false">$E$40-E47</f>
        <v>4288</v>
      </c>
      <c r="F60" s="29" t="n">
        <f aca="false">$E$40-F47</f>
        <v>3577</v>
      </c>
      <c r="G60" s="29" t="n">
        <f aca="false">$E$40-G47</f>
        <v>2271</v>
      </c>
      <c r="H60" s="29" t="n">
        <f aca="false">$E$40-H47</f>
        <v>3225</v>
      </c>
      <c r="I60" s="29" t="n">
        <f aca="false">$E$40-I47</f>
        <v>1963</v>
      </c>
      <c r="J60" s="29" t="n">
        <f aca="false">$E$40-J47</f>
        <v>3724</v>
      </c>
    </row>
    <row r="61" customFormat="false" ht="15" hidden="false" customHeight="false" outlineLevel="0" collapsed="false">
      <c r="C61" s="30" t="s">
        <v>342</v>
      </c>
      <c r="D61" s="11"/>
      <c r="E61" s="82" t="n">
        <f aca="false">E57/E60</f>
        <v>111387.667318171</v>
      </c>
      <c r="F61" s="82" t="n">
        <f aca="false">F57/F60</f>
        <v>122818.669542181</v>
      </c>
      <c r="G61" s="82" t="n">
        <f aca="false">G57/G60</f>
        <v>95463.3464624426</v>
      </c>
      <c r="H61" s="82" t="n">
        <f aca="false">H57/H60</f>
        <v>87812.2878255069</v>
      </c>
      <c r="I61" s="82" t="n">
        <f aca="false">I57/I60</f>
        <v>124025.267362667</v>
      </c>
      <c r="J61" s="82" t="n">
        <f aca="false">J57/J60</f>
        <v>103865.628760408</v>
      </c>
    </row>
    <row r="62" customFormat="false" ht="15" hidden="false" customHeight="false" outlineLevel="0" collapsed="false">
      <c r="C62" s="23" t="s">
        <v>343</v>
      </c>
      <c r="E62" s="83" t="n">
        <f aca="false">$F$40-SUMPRODUCT(M$17:M$39,$F$17:$F$39)</f>
        <v>36200969.6529426</v>
      </c>
      <c r="F62" s="83" t="n">
        <f aca="false">$F$40-SUMPRODUCT(N$17:N$39,$F$17:$F$39)</f>
        <v>33091374.4674488</v>
      </c>
      <c r="G62" s="83" t="n">
        <f aca="false">$F$40-SUMPRODUCT(O$17:O$39,$F$17:$F$39)</f>
        <v>19367950.0917238</v>
      </c>
      <c r="H62" s="83" t="n">
        <f aca="false">$F$40-SUMPRODUCT(P$17:P$39,$F$17:$F$39)</f>
        <v>24428882.5070401</v>
      </c>
      <c r="I62" s="83" t="n">
        <f aca="false">$F$40-SUMPRODUCT(Q$17:Q$39,$F$17:$F$39)</f>
        <v>19730685.4036873</v>
      </c>
      <c r="J62" s="83" t="n">
        <f aca="false">$F$40-SUMPRODUCT(R$17:R$39,$F$17:$F$39)</f>
        <v>30926136.5709679</v>
      </c>
    </row>
    <row r="63" customFormat="false" ht="15" hidden="false" customHeight="false" outlineLevel="0" collapsed="false">
      <c r="C63" s="30" t="s">
        <v>344</v>
      </c>
      <c r="D63" s="11"/>
      <c r="E63" s="82" t="n">
        <f aca="false">$G$40-SUMPRODUCT(M$17:M$39,$G$17:$G$39)</f>
        <v>31796066.0908188</v>
      </c>
      <c r="F63" s="82" t="n">
        <f aca="false">$G$40-SUMPRODUCT(N$17:N$39,$G$17:$G$39)</f>
        <v>29035326.0735217</v>
      </c>
      <c r="G63" s="82" t="n">
        <f aca="false">$G$40-SUMPRODUCT(O$17:O$39,$G$17:$G$39)</f>
        <v>15961316.4228436</v>
      </c>
      <c r="H63" s="82" t="n">
        <f aca="false">$G$40-SUMPRODUCT(P$17:P$39,$G$17:$G$39)</f>
        <v>21172900.5948753</v>
      </c>
      <c r="I63" s="82" t="n">
        <f aca="false">$G$40-SUMPRODUCT(Q$17:Q$39,$G$17:$G$39)</f>
        <v>18077492.7229279</v>
      </c>
      <c r="J63" s="82" t="n">
        <f aca="false">$G$40-SUMPRODUCT(R$17:R$39,$G$17:$G$39)</f>
        <v>26710501.8344029</v>
      </c>
    </row>
    <row r="64" customFormat="false" ht="15" hidden="false" customHeight="false" outlineLevel="0" collapsed="false">
      <c r="C64" s="23" t="s">
        <v>345</v>
      </c>
      <c r="E64" s="83" t="n">
        <f aca="false">$H$40-SUMPRODUCT(M$17:M$39,$H$17:$H$39)</f>
        <v>548650000</v>
      </c>
      <c r="F64" s="83" t="n">
        <f aca="false">$H$40-SUMPRODUCT(N$17:N$39,$H$17:$H$39)</f>
        <v>511880000</v>
      </c>
      <c r="G64" s="83" t="n">
        <f aca="false">$H$40-SUMPRODUCT(O$17:O$39,$H$17:$H$39)</f>
        <v>274170000</v>
      </c>
      <c r="H64" s="83" t="n">
        <f aca="false">$H$40-SUMPRODUCT(P$17:P$39,$H$17:$H$39)</f>
        <v>352610000</v>
      </c>
      <c r="I64" s="83" t="n">
        <f aca="false">$H$40-SUMPRODUCT(Q$17:Q$39,$H$17:$H$39)</f>
        <v>329340000</v>
      </c>
      <c r="J64" s="83" t="n">
        <f aca="false">$H$40-SUMPRODUCT(R$17:R$39,$H$17:$H$39)</f>
        <v>458160000</v>
      </c>
    </row>
    <row r="65" customFormat="false" ht="15" hidden="false" customHeight="false" outlineLevel="0" collapsed="false">
      <c r="C65" s="30" t="s">
        <v>346</v>
      </c>
      <c r="D65" s="11"/>
      <c r="E65" s="86" t="n">
        <f aca="false">Mortgage_Bal/$H$40</f>
        <v>0.868388138625461</v>
      </c>
      <c r="F65" s="86" t="n">
        <f aca="false">Mortgage_Bal/$H$40</f>
        <v>0.868388138625461</v>
      </c>
      <c r="G65" s="86" t="n">
        <f aca="false">Mortgage_Bal/$H$40</f>
        <v>0.868388138625461</v>
      </c>
      <c r="H65" s="86" t="n">
        <f aca="false">Mortgage_Bal/$H$40</f>
        <v>0.868388138625461</v>
      </c>
      <c r="I65" s="86" t="n">
        <f aca="false">Mortgage_Bal/$H$40</f>
        <v>0.868388138625461</v>
      </c>
      <c r="J65" s="86" t="n">
        <f aca="false">Mortgage_Bal/$H$40</f>
        <v>0.868388138625461</v>
      </c>
    </row>
    <row r="66" customFormat="false" ht="15" hidden="false" customHeight="false" outlineLevel="0" collapsed="false">
      <c r="C66" s="87" t="s">
        <v>347</v>
      </c>
      <c r="E66" s="88" t="n">
        <f aca="false">E57/E64</f>
        <v>0.870555577253837</v>
      </c>
      <c r="F66" s="88" t="n">
        <f aca="false">F57/F64</f>
        <v>0.858252678269088</v>
      </c>
      <c r="G66" s="88" t="n">
        <f aca="false">G57/G64</f>
        <v>0.790740269964647</v>
      </c>
      <c r="H66" s="88" t="n">
        <f aca="false">H57/H64</f>
        <v>0.803138391529621</v>
      </c>
      <c r="I66" s="88" t="n">
        <f aca="false">I57/I64</f>
        <v>0.739240905547202</v>
      </c>
      <c r="J66" s="88" t="n">
        <f aca="false">J57/J64</f>
        <v>0.844236951073336</v>
      </c>
    </row>
    <row r="67" customFormat="false" ht="15" hidden="false" customHeight="false" outlineLevel="0" collapsed="false">
      <c r="C67" s="30" t="s">
        <v>348</v>
      </c>
      <c r="D67" s="11"/>
      <c r="E67" s="89" t="n">
        <f aca="false">(E66-E65)*10000</f>
        <v>21.6743862837554</v>
      </c>
      <c r="F67" s="89" t="n">
        <f aca="false">(F66-F65)*10000</f>
        <v>-101.354603563728</v>
      </c>
      <c r="G67" s="89" t="n">
        <f aca="false">(G66-G65)*10000</f>
        <v>-776.478686608145</v>
      </c>
      <c r="H67" s="89" t="n">
        <f aca="false">(H66-H65)*10000</f>
        <v>-652.497470958398</v>
      </c>
      <c r="I67" s="89" t="n">
        <f aca="false">(I66-I65)*10000</f>
        <v>-1291.47233078259</v>
      </c>
      <c r="J67" s="89" t="n">
        <f aca="false">(J66-J65)*10000</f>
        <v>-241.511875521256</v>
      </c>
    </row>
    <row r="68" customFormat="false" ht="15" hidden="false" customHeight="false" outlineLevel="0" collapsed="false">
      <c r="C68" s="23" t="s">
        <v>349</v>
      </c>
      <c r="E68" s="81" t="n">
        <f aca="false">TotalDebt_Total/$H$40</f>
        <v>0.947548406503808</v>
      </c>
      <c r="F68" s="81" t="n">
        <f aca="false">TotalDebt_Total/$H$40</f>
        <v>0.947548406503808</v>
      </c>
      <c r="G68" s="81" t="n">
        <f aca="false">TotalDebt_Total/$H$40</f>
        <v>0.947548406503808</v>
      </c>
      <c r="H68" s="81" t="n">
        <f aca="false">TotalDebt_Total/$H$40</f>
        <v>0.947548406503808</v>
      </c>
      <c r="I68" s="81" t="n">
        <f aca="false">TotalDebt_Total/$H$40</f>
        <v>0.947548406503808</v>
      </c>
      <c r="J68" s="81" t="n">
        <f aca="false">TotalDebt_Total/$H$40</f>
        <v>0.947548406503808</v>
      </c>
    </row>
    <row r="69" customFormat="false" ht="15" hidden="false" customHeight="false" outlineLevel="0" collapsed="false">
      <c r="C69" s="84" t="s">
        <v>350</v>
      </c>
      <c r="D69" s="11"/>
      <c r="E69" s="90" t="n">
        <f aca="false">E59/E64</f>
        <v>0.949913423858562</v>
      </c>
      <c r="F69" s="90" t="n">
        <f aca="false">F59/F64</f>
        <v>0.936489020864265</v>
      </c>
      <c r="G69" s="90" t="n">
        <f aca="false">G59/G64</f>
        <v>0.862822336506547</v>
      </c>
      <c r="H69" s="90" t="n">
        <f aca="false">H59/H64</f>
        <v>0.876350642352741</v>
      </c>
      <c r="I69" s="90" t="n">
        <f aca="false">I59/I64</f>
        <v>0.806628408331815</v>
      </c>
      <c r="J69" s="90" t="n">
        <f aca="false">J59/J64</f>
        <v>0.921195652173913</v>
      </c>
    </row>
    <row r="70" customFormat="false" ht="15" hidden="false" customHeight="false" outlineLevel="0" collapsed="false">
      <c r="C70" s="23" t="s">
        <v>348</v>
      </c>
      <c r="E70" s="91" t="n">
        <f aca="false">(E69-E68)*10000</f>
        <v>23.6501735475436</v>
      </c>
      <c r="F70" s="91" t="n">
        <f aca="false">(F69-F68)*10000</f>
        <v>-110.593856395425</v>
      </c>
      <c r="G70" s="91" t="n">
        <f aca="false">(G69-G68)*10000</f>
        <v>-847.260699972605</v>
      </c>
      <c r="H70" s="91" t="n">
        <f aca="false">(H69-H68)*10000</f>
        <v>-711.977641510666</v>
      </c>
      <c r="I70" s="91" t="n">
        <f aca="false">(I69-I68)*10000</f>
        <v>-1409.19998171992</v>
      </c>
      <c r="J70" s="91" t="n">
        <f aca="false">(J69-J68)*10000</f>
        <v>-263.527543298945</v>
      </c>
    </row>
    <row r="71" customFormat="false" ht="15" hidden="false" customHeight="false" outlineLevel="0" collapsed="false">
      <c r="C71" s="30" t="s">
        <v>351</v>
      </c>
      <c r="D71" s="11"/>
      <c r="E71" s="92" t="n">
        <f aca="false">$F$40/TotalDebt_Total</f>
        <v>0.0688544949193685</v>
      </c>
      <c r="F71" s="92" t="n">
        <f aca="false">$F$40/TotalDebt_Total</f>
        <v>0.0688544949193685</v>
      </c>
      <c r="G71" s="92" t="n">
        <f aca="false">$F$40/TotalDebt_Total</f>
        <v>0.0688544949193685</v>
      </c>
      <c r="H71" s="92" t="n">
        <f aca="false">$F$40/TotalDebt_Total</f>
        <v>0.0688544949193685</v>
      </c>
      <c r="I71" s="92" t="n">
        <f aca="false">$F$40/TotalDebt_Total</f>
        <v>0.0688544949193685</v>
      </c>
      <c r="J71" s="92" t="n">
        <f aca="false">$F$40/TotalDebt_Total</f>
        <v>0.0688544949193685</v>
      </c>
    </row>
    <row r="72" customFormat="false" ht="15" hidden="false" customHeight="false" outlineLevel="0" collapsed="false">
      <c r="C72" s="87" t="s">
        <v>352</v>
      </c>
      <c r="E72" s="93" t="n">
        <f aca="false">E62/E59</f>
        <v>0.0694609621677046</v>
      </c>
      <c r="F72" s="93" t="n">
        <f aca="false">F62/F59</f>
        <v>0.0690309666175372</v>
      </c>
      <c r="G72" s="93" t="n">
        <f aca="false">G62/G59</f>
        <v>0.0818733094847978</v>
      </c>
      <c r="H72" s="93" t="n">
        <f aca="false">H62/H59</f>
        <v>0.0790553137666744</v>
      </c>
      <c r="I72" s="93" t="n">
        <f aca="false">I62/I59</f>
        <v>0.0742718390532354</v>
      </c>
      <c r="J72" s="93" t="n">
        <f aca="false">J62/J59</f>
        <v>0.073275133740787</v>
      </c>
    </row>
    <row r="73" customFormat="false" ht="15" hidden="false" customHeight="false" outlineLevel="0" collapsed="false">
      <c r="C73" s="30" t="s">
        <v>353</v>
      </c>
      <c r="D73" s="11"/>
      <c r="E73" s="56" t="str">
        <f aca="false">IF(E72&gt;E71,"Pass","Fail")</f>
        <v>Pass</v>
      </c>
      <c r="F73" s="56" t="str">
        <f aca="false">IF(F72&gt;F71,"Pass","Fail")</f>
        <v>Pass</v>
      </c>
      <c r="G73" s="56" t="str">
        <f aca="false">IF(G72&gt;G71,"Pass","Fail")</f>
        <v>Pass</v>
      </c>
      <c r="H73" s="56" t="str">
        <f aca="false">IF(H72&gt;H71,"Pass","Fail")</f>
        <v>Pass</v>
      </c>
      <c r="I73" s="56" t="str">
        <f aca="false">IF(I72&gt;I71,"Pass","Fail")</f>
        <v>Pass</v>
      </c>
      <c r="J73" s="56" t="str">
        <f aca="false">IF(J72&gt;J71,"Pass","Fail")</f>
        <v>Pass</v>
      </c>
    </row>
    <row r="74" customFormat="false" ht="15" hidden="false" customHeight="false" outlineLevel="0" collapsed="false">
      <c r="C74" s="23" t="s">
        <v>354</v>
      </c>
      <c r="E74" s="94" t="n">
        <f aca="false">E62/E57</f>
        <v>0.0757928639149886</v>
      </c>
      <c r="F74" s="94" t="n">
        <f aca="false">F62/F57</f>
        <v>0.0753236709582426</v>
      </c>
      <c r="G74" s="94" t="n">
        <f aca="false">G62/G57</f>
        <v>0.0893366923001851</v>
      </c>
      <c r="H74" s="94" t="n">
        <f aca="false">H62/H57</f>
        <v>0.0862618145658243</v>
      </c>
      <c r="I74" s="94" t="n">
        <f aca="false">I62/I57</f>
        <v>0.0810422892859825</v>
      </c>
      <c r="J74" s="94" t="n">
        <f aca="false">J62/J57</f>
        <v>0.0799547266068569</v>
      </c>
    </row>
    <row r="75" customFormat="false" ht="15" hidden="false" customHeight="false" outlineLevel="0" collapsed="false">
      <c r="C75" s="30" t="s">
        <v>355</v>
      </c>
      <c r="D75" s="11"/>
      <c r="E75" s="92" t="n">
        <f aca="false">$G$40/Mortgage_Bal</f>
        <v>0.066580584280025</v>
      </c>
      <c r="F75" s="92" t="n">
        <f aca="false">$G$40/Mortgage_Bal</f>
        <v>0.066580584280025</v>
      </c>
      <c r="G75" s="92" t="n">
        <f aca="false">$G$40/Mortgage_Bal</f>
        <v>0.066580584280025</v>
      </c>
      <c r="H75" s="92" t="n">
        <f aca="false">$G$40/Mortgage_Bal</f>
        <v>0.066580584280025</v>
      </c>
      <c r="I75" s="92" t="n">
        <f aca="false">$G$40/Mortgage_Bal</f>
        <v>0.066580584280025</v>
      </c>
      <c r="J75" s="92" t="n">
        <f aca="false">$G$40/Mortgage_Bal</f>
        <v>0.066580584280025</v>
      </c>
    </row>
    <row r="76" customFormat="false" ht="15" hidden="false" customHeight="false" outlineLevel="0" collapsed="false">
      <c r="C76" s="87" t="s">
        <v>356</v>
      </c>
      <c r="E76" s="93" t="n">
        <f aca="false">E63/E57</f>
        <v>0.066570451934221</v>
      </c>
      <c r="F76" s="93" t="n">
        <f aca="false">F63/F57</f>
        <v>0.0660911606883714</v>
      </c>
      <c r="G76" s="93" t="n">
        <f aca="false">G63/G57</f>
        <v>0.0736232387640646</v>
      </c>
      <c r="H76" s="93" t="n">
        <f aca="false">H63/H57</f>
        <v>0.0747644852116921</v>
      </c>
      <c r="I76" s="93" t="n">
        <f aca="false">I63/I57</f>
        <v>0.0742519261162099</v>
      </c>
      <c r="J76" s="93" t="n">
        <f aca="false">J63/J57</f>
        <v>0.0690558572293984</v>
      </c>
    </row>
    <row r="80" customFormat="false" ht="15" hidden="false" customHeight="false" outlineLevel="0" collapsed="false">
      <c r="C80" s="21" t="s">
        <v>357</v>
      </c>
    </row>
    <row r="81" customFormat="false" ht="15" hidden="false" customHeight="false" outlineLevel="0" collapsed="false">
      <c r="C81" s="6" t="s">
        <v>358</v>
      </c>
      <c r="E81" s="29" t="n">
        <f aca="false">Scenario_Sel</f>
        <v>1</v>
      </c>
    </row>
    <row r="82" customFormat="false" ht="15" hidden="false" customHeight="false" outlineLevel="0" collapsed="false">
      <c r="C82" s="9" t="s">
        <v>321</v>
      </c>
      <c r="D82" s="11"/>
      <c r="E82" s="56" t="str">
        <f aca="false">INDEX($E$45:$J$45,Scenario_Sel)</f>
        <v>Sell lowest SSP LTV assets up to the Tier 1 cap</v>
      </c>
    </row>
    <row r="83" customFormat="false" ht="15" hidden="false" customHeight="false" outlineLevel="0" collapsed="false">
      <c r="C83" s="6" t="s">
        <v>336</v>
      </c>
      <c r="E83" s="83" t="n">
        <f aca="false">INDEX($E$55:$J$55,Scenario_Sel)</f>
        <v>70869682.5396825</v>
      </c>
    </row>
    <row r="84" customFormat="false" ht="15" hidden="false" customHeight="false" outlineLevel="0" collapsed="false">
      <c r="C84" s="9" t="s">
        <v>345</v>
      </c>
      <c r="D84" s="11"/>
      <c r="E84" s="82" t="n">
        <f aca="false">INDEX($E$64:$J$64,Scenario_Sel)</f>
        <v>548650000</v>
      </c>
    </row>
    <row r="85" customFormat="false" ht="15" hidden="false" customHeight="false" outlineLevel="0" collapsed="false">
      <c r="C85" s="6" t="s">
        <v>344</v>
      </c>
      <c r="E85" s="83" t="n">
        <f aca="false">INDEX($E$63:$J$63,Scenario_Sel)</f>
        <v>31796066.0908188</v>
      </c>
    </row>
    <row r="86" customFormat="false" ht="15" hidden="false" customHeight="false" outlineLevel="0" collapsed="false">
      <c r="C86" s="9" t="s">
        <v>359</v>
      </c>
      <c r="D86" s="11"/>
      <c r="E86" s="82" t="n">
        <f aca="false">MIN(E83,$E$11)</f>
        <v>70869682.5396825</v>
      </c>
    </row>
    <row r="87" customFormat="false" ht="15" hidden="false" customHeight="false" outlineLevel="0" collapsed="false">
      <c r="C87" s="6" t="s">
        <v>360</v>
      </c>
      <c r="E87" s="83" t="n">
        <f aca="false">E83-E86</f>
        <v>0</v>
      </c>
    </row>
    <row r="90" customFormat="false" ht="31.5" hidden="false" customHeight="true" outlineLevel="0" collapsed="false">
      <c r="C90" s="22" t="s">
        <v>57</v>
      </c>
      <c r="D90" s="22" t="s">
        <v>58</v>
      </c>
      <c r="E90" s="22" t="s">
        <v>361</v>
      </c>
      <c r="F90" s="22" t="s">
        <v>362</v>
      </c>
      <c r="G90" s="22" t="s">
        <v>363</v>
      </c>
      <c r="H90" s="22" t="s">
        <v>364</v>
      </c>
      <c r="I90" s="22" t="s">
        <v>365</v>
      </c>
      <c r="J90" s="22" t="s">
        <v>366</v>
      </c>
      <c r="K90" s="22" t="s">
        <v>367</v>
      </c>
      <c r="L90" s="22" t="s">
        <v>348</v>
      </c>
      <c r="M90" s="22" t="s">
        <v>368</v>
      </c>
      <c r="N90" s="22" t="s">
        <v>369</v>
      </c>
      <c r="O90" s="22" t="s">
        <v>348</v>
      </c>
    </row>
    <row r="91" customFormat="false" ht="15" hidden="false" customHeight="false" outlineLevel="0" collapsed="false">
      <c r="C91" s="61" t="str">
        <f aca="false">INDEX(Class_Label,1)</f>
        <v>A</v>
      </c>
      <c r="D91" s="95" t="str">
        <f aca="false">INDEX(Class_Rating,1)</f>
        <v>Aaa(sf)</v>
      </c>
      <c r="E91" s="49" t="n">
        <f aca="false">INDEX(Class_Size,1)</f>
        <v>290705000</v>
      </c>
      <c r="F91" s="25" t="n">
        <f aca="false">$E$86*E91/Mortgage_Total</f>
        <v>37560931.7460317</v>
      </c>
      <c r="G91" s="25" t="n">
        <f aca="false">MIN(E91-F91,$E$87)</f>
        <v>0</v>
      </c>
      <c r="H91" s="25" t="n">
        <f aca="false">E91-F91-G91</f>
        <v>253144068.253968</v>
      </c>
      <c r="I91" s="25" t="n">
        <f aca="false">SUM(H$91:H91)</f>
        <v>253144068.253968</v>
      </c>
      <c r="J91" s="26" t="n">
        <f aca="false">SUM(E$91:E91)/SSP_Value_Total</f>
        <v>0.460245713471494</v>
      </c>
      <c r="K91" s="26" t="n">
        <f aca="false">I91/$E$84</f>
        <v>0.461394455944533</v>
      </c>
      <c r="L91" s="96" t="n">
        <f aca="false">(K91-J91)*10000</f>
        <v>11.4874247303898</v>
      </c>
      <c r="M91" s="14" t="n">
        <f aca="false">SSP_NOI_Total/SUM(E$91:E91)</f>
        <v>0.125623743924575</v>
      </c>
      <c r="N91" s="14" t="n">
        <f aca="false">IFERROR($E$85/I91,0)</f>
        <v>0.125604626290983</v>
      </c>
      <c r="O91" s="96" t="n">
        <f aca="false">IF(I91=0,0,(N91-M91)*10000)</f>
        <v>-0.191176335924137</v>
      </c>
    </row>
    <row r="92" customFormat="false" ht="15" hidden="false" customHeight="false" outlineLevel="0" collapsed="false">
      <c r="C92" s="65" t="str">
        <f aca="false">INDEX(Class_Label,2)</f>
        <v>B</v>
      </c>
      <c r="D92" s="97" t="str">
        <f aca="false">INDEX(Class_Rating,2)</f>
        <v>Aa3(sf)</v>
      </c>
      <c r="E92" s="51" t="n">
        <f aca="false">INDEX(Class_Size,2)</f>
        <v>54850000</v>
      </c>
      <c r="F92" s="32" t="n">
        <f aca="false">$E$86*E92/Mortgage_Total</f>
        <v>7086968.25396825</v>
      </c>
      <c r="G92" s="32" t="n">
        <f aca="false">MIN(E92-F92,$E$87-SUM(G$91:G91))</f>
        <v>0</v>
      </c>
      <c r="H92" s="32" t="n">
        <f aca="false">E92-F92-G92</f>
        <v>47763031.7460317</v>
      </c>
      <c r="I92" s="32" t="n">
        <f aca="false">SUM(H$91:H92)</f>
        <v>300907100</v>
      </c>
      <c r="J92" s="34" t="n">
        <f aca="false">SUM(E$91:E92)/SSP_Value_Total</f>
        <v>0.54708452733404</v>
      </c>
      <c r="K92" s="34" t="n">
        <f aca="false">I92/$E$84</f>
        <v>0.548450013669917</v>
      </c>
      <c r="L92" s="98" t="n">
        <f aca="false">(K92-J92)*10000</f>
        <v>13.6548633587663</v>
      </c>
      <c r="M92" s="35" t="n">
        <f aca="false">SSP_NOI_Total/SUM(E$91:E92)</f>
        <v>0.105683467111151</v>
      </c>
      <c r="N92" s="35" t="n">
        <f aca="false">IFERROR($E$85/I92,0)</f>
        <v>0.105667384022573</v>
      </c>
      <c r="O92" s="98" t="n">
        <f aca="false">IF(I92=0,0,(N92-M92)*10000)</f>
        <v>-0.160830885777563</v>
      </c>
    </row>
    <row r="93" customFormat="false" ht="15" hidden="false" customHeight="false" outlineLevel="0" collapsed="false">
      <c r="C93" s="61" t="str">
        <f aca="false">INDEX(Class_Label,3)</f>
        <v>C</v>
      </c>
      <c r="D93" s="95" t="str">
        <f aca="false">INDEX(Class_Rating,3)</f>
        <v>A3(sf)</v>
      </c>
      <c r="E93" s="49" t="n">
        <f aca="false">INDEX(Class_Size,3)</f>
        <v>43880000</v>
      </c>
      <c r="F93" s="25" t="n">
        <f aca="false">$E$86*E93/Mortgage_Total</f>
        <v>5669574.6031746</v>
      </c>
      <c r="G93" s="25" t="n">
        <f aca="false">MIN(E93-F93,$E$87-SUM(G$91:G92))</f>
        <v>0</v>
      </c>
      <c r="H93" s="25" t="n">
        <f aca="false">E93-F93-G93</f>
        <v>38210425.3968254</v>
      </c>
      <c r="I93" s="25" t="n">
        <f aca="false">SUM(H$91:H93)</f>
        <v>339117525.396825</v>
      </c>
      <c r="J93" s="26" t="n">
        <f aca="false">SUM(E$91:E93)/SSP_Value_Total</f>
        <v>0.616555578424077</v>
      </c>
      <c r="K93" s="26" t="n">
        <f aca="false">I93/$E$84</f>
        <v>0.618094459850224</v>
      </c>
      <c r="L93" s="96" t="n">
        <f aca="false">(K93-J93)*10000</f>
        <v>15.3888142614655</v>
      </c>
      <c r="M93" s="14" t="n">
        <f aca="false">SSP_NOI_Total/SUM(E$91:E93)</f>
        <v>0.0937754708169366</v>
      </c>
      <c r="N93" s="14" t="n">
        <f aca="false">IFERROR($E$85/I93,0)</f>
        <v>0.0937611999073535</v>
      </c>
      <c r="O93" s="96" t="n">
        <f aca="false">IF(I93=0,0,(N93-M93)*10000)</f>
        <v>-0.142709095830584</v>
      </c>
    </row>
    <row r="94" customFormat="false" ht="15" hidden="false" customHeight="false" outlineLevel="0" collapsed="false">
      <c r="C94" s="65" t="str">
        <f aca="false">INDEX(Class_Label,4)</f>
        <v>D</v>
      </c>
      <c r="D94" s="97" t="str">
        <f aca="false">INDEX(Class_Rating,4)</f>
        <v>Baa3(sf)</v>
      </c>
      <c r="E94" s="51" t="n">
        <f aca="false">INDEX(Class_Size,4)</f>
        <v>46622500</v>
      </c>
      <c r="F94" s="32" t="n">
        <f aca="false">$E$86*E94/Mortgage_Total</f>
        <v>6023923.01587302</v>
      </c>
      <c r="G94" s="32" t="n">
        <f aca="false">MIN(E94-F94,$E$87-SUM(G$91:G93))</f>
        <v>0</v>
      </c>
      <c r="H94" s="32" t="n">
        <f aca="false">E94-F94-G94</f>
        <v>40598576.984127</v>
      </c>
      <c r="I94" s="32" t="n">
        <f aca="false">SUM(H$91:H94)</f>
        <v>379716102.380952</v>
      </c>
      <c r="J94" s="34" t="n">
        <f aca="false">SUM(E$91:E94)/SSP_Value_Total</f>
        <v>0.690368570207242</v>
      </c>
      <c r="K94" s="34" t="n">
        <f aca="false">I94/$E$84</f>
        <v>0.6920916839168</v>
      </c>
      <c r="L94" s="98" t="n">
        <f aca="false">(K94-J94)*10000</f>
        <v>17.2311370955847</v>
      </c>
      <c r="M94" s="35" t="n">
        <f aca="false">SSP_NOI_Total/SUM(E$91:E94)</f>
        <v>0.0837491626163836</v>
      </c>
      <c r="N94" s="35" t="n">
        <f aca="false">IFERROR($E$85/I94,0)</f>
        <v>0.083736417527322</v>
      </c>
      <c r="O94" s="98" t="n">
        <f aca="false">IF(I94=0,0,(N94-M94)*10000)</f>
        <v>-0.127450890616138</v>
      </c>
    </row>
    <row r="95" customFormat="false" ht="15" hidden="false" customHeight="false" outlineLevel="0" collapsed="false">
      <c r="C95" s="61" t="str">
        <f aca="false">INDEX(Class_Label,5)</f>
        <v>E</v>
      </c>
      <c r="D95" s="95" t="str">
        <f aca="false">INDEX(Class_Rating,5)</f>
        <v>Ba3(sf)</v>
      </c>
      <c r="E95" s="49" t="n">
        <f aca="false">INDEX(Class_Size,5)</f>
        <v>41137500</v>
      </c>
      <c r="F95" s="25" t="n">
        <f aca="false">$E$86*E95/Mortgage_Total</f>
        <v>5315226.19047619</v>
      </c>
      <c r="G95" s="25" t="n">
        <f aca="false">MIN(E95-F95,$E$87-SUM(G$91:G94))</f>
        <v>0</v>
      </c>
      <c r="H95" s="25" t="n">
        <f aca="false">E95-F95-G95</f>
        <v>35822273.8095238</v>
      </c>
      <c r="I95" s="25" t="n">
        <f aca="false">SUM(H$91:H95)</f>
        <v>415538376.190476</v>
      </c>
      <c r="J95" s="26" t="n">
        <f aca="false">SUM(E$91:E95)/SSP_Value_Total</f>
        <v>0.755497680604151</v>
      </c>
      <c r="K95" s="26" t="n">
        <f aca="false">I95/$E$84</f>
        <v>0.757383352210838</v>
      </c>
      <c r="L95" s="96" t="n">
        <f aca="false">(K95-J95)*10000</f>
        <v>18.8567160668673</v>
      </c>
      <c r="M95" s="14" t="n">
        <f aca="false">SSP_NOI_Total/SUM(E$91:E95)</f>
        <v>0.0765294072184195</v>
      </c>
      <c r="N95" s="14" t="n">
        <f aca="false">IFERROR($E$85/I95,0)</f>
        <v>0.0765177608439322</v>
      </c>
      <c r="O95" s="96" t="n">
        <f aca="false">IF(I95=0,0,(N95-M95)*10000)</f>
        <v>-0.116463744873341</v>
      </c>
    </row>
    <row r="96" customFormat="false" ht="15" hidden="false" customHeight="false" outlineLevel="0" collapsed="false">
      <c r="C96" s="65" t="str">
        <f aca="false">INDEX(Class_Label,6)</f>
        <v>F</v>
      </c>
      <c r="D96" s="97" t="str">
        <f aca="false">INDEX(Class_Rating,6)</f>
        <v>B3(sf)</v>
      </c>
      <c r="E96" s="51" t="n">
        <f aca="false">INDEX(Class_Size,6)</f>
        <v>43880000</v>
      </c>
      <c r="F96" s="32" t="n">
        <f aca="false">$E$86*E96/Mortgage_Total</f>
        <v>5669574.6031746</v>
      </c>
      <c r="G96" s="32" t="n">
        <f aca="false">MIN(E96-F96,$E$87-SUM(G$91:G95))</f>
        <v>0</v>
      </c>
      <c r="H96" s="32" t="n">
        <f aca="false">E96-F96-G96</f>
        <v>38210425.3968254</v>
      </c>
      <c r="I96" s="32" t="n">
        <f aca="false">SUM(H$91:H96)</f>
        <v>453748801.587302</v>
      </c>
      <c r="J96" s="34" t="n">
        <f aca="false">SUM(E$91:E96)/SSP_Value_Total</f>
        <v>0.824968731694188</v>
      </c>
      <c r="K96" s="34" t="n">
        <f aca="false">I96/$E$84</f>
        <v>0.827027798391145</v>
      </c>
      <c r="L96" s="98" t="n">
        <f aca="false">(K96-J96)*10000</f>
        <v>20.5906669695666</v>
      </c>
      <c r="M96" s="35" t="n">
        <f aca="false">SSP_NOI_Total/SUM(E$91:E96)</f>
        <v>0.070084825557921</v>
      </c>
      <c r="N96" s="35" t="n">
        <f aca="false">IFERROR($E$85/I96,0)</f>
        <v>0.0700741599307589</v>
      </c>
      <c r="O96" s="98" t="n">
        <f aca="false">IF(I96=0,0,(N96-M96)*10000)</f>
        <v>-0.106656271620792</v>
      </c>
    </row>
    <row r="97" customFormat="false" ht="15" hidden="false" customHeight="false" outlineLevel="0" collapsed="false">
      <c r="C97" s="61" t="str">
        <f aca="false">INDEX(Class_Label,7)</f>
        <v>HRR</v>
      </c>
      <c r="D97" s="95" t="str">
        <f aca="false">INDEX(Class_Rating,7)</f>
        <v>NR</v>
      </c>
      <c r="E97" s="49" t="n">
        <f aca="false">INDEX(Class_Size,7)</f>
        <v>27425000</v>
      </c>
      <c r="F97" s="25" t="n">
        <f aca="false">$E$86*E97/Mortgage_Total</f>
        <v>3543484.12698413</v>
      </c>
      <c r="G97" s="25" t="n">
        <f aca="false">MIN(E97-F97,$E$87-SUM(G$91:G96))</f>
        <v>0</v>
      </c>
      <c r="H97" s="25" t="n">
        <f aca="false">E97-F97-G97</f>
        <v>23881515.8730159</v>
      </c>
      <c r="I97" s="25" t="n">
        <f aca="false">SUM(H$91:H97)</f>
        <v>477630317.460317</v>
      </c>
      <c r="J97" s="26" t="n">
        <f aca="false">SUM(E$91:E97)/SSP_Value_Total</f>
        <v>0.868388138625461</v>
      </c>
      <c r="K97" s="26" t="n">
        <f aca="false">I97/$E$84</f>
        <v>0.870555577253837</v>
      </c>
      <c r="L97" s="96" t="n">
        <f aca="false">(K97-J97)*10000</f>
        <v>21.6743862837543</v>
      </c>
      <c r="M97" s="14" t="n">
        <f aca="false">SSP_NOI_Total/SUM(E$91:E97)</f>
        <v>0.066580584280025</v>
      </c>
      <c r="N97" s="14" t="n">
        <f aca="false">IFERROR($E$85/I97,0)</f>
        <v>0.066570451934221</v>
      </c>
      <c r="O97" s="96" t="n">
        <f aca="false">IF(I97=0,0,(N97-M97)*10000)</f>
        <v>-0.101323458039787</v>
      </c>
    </row>
    <row r="98" customFormat="false" ht="15" hidden="false" customHeight="false" outlineLevel="0" collapsed="false">
      <c r="C98" s="41" t="s">
        <v>99</v>
      </c>
      <c r="D98" s="42"/>
      <c r="E98" s="43" t="n">
        <f aca="false">SUM(E91:E97)</f>
        <v>548500000</v>
      </c>
      <c r="F98" s="43" t="n">
        <f aca="false">SUM(F91:F97)</f>
        <v>70869682.5396825</v>
      </c>
      <c r="G98" s="43" t="n">
        <f aca="false">SUM(G91:G97)</f>
        <v>0</v>
      </c>
      <c r="H98" s="43" t="n">
        <f aca="false">SUM(H91:H97)</f>
        <v>477630317.460317</v>
      </c>
      <c r="I98" s="42"/>
      <c r="J98" s="42"/>
      <c r="K98" s="42"/>
      <c r="L98" s="42"/>
      <c r="M98" s="42"/>
      <c r="N98" s="42"/>
      <c r="O98" s="42"/>
    </row>
  </sheetData>
  <conditionalFormatting sqref="M17:R39">
    <cfRule type="expression" priority="2" aboveAverage="0" equalAverage="0" bottom="0" percent="0" rank="0" text="" dxfId="2">
      <formula>M17=1</formula>
    </cfRule>
  </conditionalFormatting>
  <conditionalFormatting sqref="E73:J73">
    <cfRule type="expression" priority="3" aboveAverage="0" equalAverage="0" bottom="0" percent="0" rank="0" text="" dxfId="0">
      <formula>E73="Fail"</formula>
    </cfRule>
    <cfRule type="expression" priority="4" aboveAverage="0" equalAverage="0" bottom="0" percent="0" rank="0" text="" dxfId="1">
      <formula>E73="Pass"</formula>
    </cfRule>
  </conditionalFormatting>
  <dataValidations count="1">
    <dataValidation allowBlank="false" errorStyle="stop" operator="between" showDropDown="false" showErrorMessage="false" showInputMessage="false" sqref="E9" type="whole">
      <formula1>1</formula1>
      <formula2>6</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&amp;L&amp;7 &amp;K9aa0a8CONFIDENTIAL&amp;R&amp;7 &amp;K9aa0a8&amp;P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2F51"/>
    <pageSetUpPr fitToPage="true"/>
  </sheetPr>
  <dimension ref="C1:J5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3"/>
    <col collapsed="false" customWidth="true" hidden="false" outlineLevel="0" max="3" min="3" style="0" width="50"/>
    <col collapsed="false" customWidth="true" hidden="false" outlineLevel="0" max="8" min="4" style="0" width="13"/>
    <col collapsed="false" customWidth="true" hidden="false" outlineLevel="0" max="9" min="9" style="0" width="3"/>
    <col collapsed="false" customWidth="true" hidden="false" outlineLevel="0" max="10" min="10" style="0" width="50"/>
  </cols>
  <sheetData>
    <row r="1" customFormat="false" ht="15" hidden="false" customHeight="false" outlineLevel="0" collapsed="false">
      <c r="C1" s="1" t="str">
        <f aca="false">Deal_Name&amp;" Sensitivity Analysis"</f>
        <v>RISE 2026-MF Sensitivity Analysis</v>
      </c>
      <c r="D1" s="4"/>
      <c r="E1" s="4"/>
      <c r="F1" s="4"/>
      <c r="G1" s="4"/>
      <c r="H1" s="4"/>
    </row>
    <row r="2" customFormat="false" ht="15" hidden="false" customHeight="false" outlineLevel="0" collapsed="false">
      <c r="C2" s="19" t="s">
        <v>370</v>
      </c>
    </row>
    <row r="3" customFormat="false" ht="15" hidden="false" customHeight="false" outlineLevel="0" collapsed="false">
      <c r="C3" s="2" t="s">
        <v>371</v>
      </c>
      <c r="D3" s="5" t="s">
        <v>37</v>
      </c>
    </row>
    <row r="4" customFormat="false" ht="15" hidden="false" customHeight="false" outlineLevel="0" collapsed="false">
      <c r="C4" s="6" t="s">
        <v>372</v>
      </c>
      <c r="D4" s="8" t="n">
        <v>0.0025</v>
      </c>
    </row>
    <row r="5" customFormat="false" ht="15" hidden="false" customHeight="false" outlineLevel="0" collapsed="false">
      <c r="C5" s="9" t="s">
        <v>373</v>
      </c>
      <c r="D5" s="33" t="n">
        <v>0.025</v>
      </c>
    </row>
    <row r="6" customFormat="false" ht="15" hidden="false" customHeight="false" outlineLevel="0" collapsed="false">
      <c r="C6" s="6" t="s">
        <v>374</v>
      </c>
      <c r="D6" s="8" t="n">
        <v>0.005</v>
      </c>
    </row>
    <row r="7" customFormat="false" ht="15" hidden="false" customHeight="false" outlineLevel="0" collapsed="false">
      <c r="C7" s="9" t="s">
        <v>375</v>
      </c>
      <c r="D7" s="17" t="n">
        <v>0</v>
      </c>
    </row>
    <row r="10" customFormat="false" ht="15" hidden="false" customHeight="false" outlineLevel="0" collapsed="false">
      <c r="C10" s="21" t="s">
        <v>376</v>
      </c>
      <c r="J10" s="52" t="s">
        <v>377</v>
      </c>
    </row>
    <row r="11" customFormat="false" ht="15" hidden="false" customHeight="false" outlineLevel="0" collapsed="false">
      <c r="C11" s="2" t="s">
        <v>378</v>
      </c>
      <c r="D11" s="99" t="n">
        <v>0</v>
      </c>
      <c r="E11" s="100" t="n">
        <f aca="false">D11+$D$5</f>
        <v>0.025</v>
      </c>
      <c r="F11" s="100" t="n">
        <f aca="false">E11+$D$5</f>
        <v>0.05</v>
      </c>
      <c r="G11" s="100" t="n">
        <f aca="false">F11+$D$5</f>
        <v>0.075</v>
      </c>
      <c r="H11" s="100" t="n">
        <f aca="false">G11+$D$5</f>
        <v>0.1</v>
      </c>
      <c r="J11" s="19" t="s">
        <v>379</v>
      </c>
    </row>
    <row r="12" customFormat="false" ht="15" hidden="false" customHeight="false" outlineLevel="0" collapsed="false">
      <c r="C12" s="101" t="n">
        <f aca="false">SSP_CapPrem</f>
        <v>0</v>
      </c>
      <c r="D12" s="102" t="n">
        <f aca="false">Mortgage_Total/SUMPRODUCT(SSP_NOI_Rng*(1-D$11)/(AppCap_Rng+SSP_CapAdj+$C12))</f>
        <v>0.868391664283538</v>
      </c>
      <c r="E12" s="103" t="n">
        <f aca="false">Mortgage_Total/SUMPRODUCT(SSP_NOI_Rng*(1-E$11)/(AppCap_Rng+SSP_CapAdj+$C12))</f>
        <v>0.890658117213885</v>
      </c>
      <c r="F12" s="103" t="n">
        <f aca="false">Mortgage_Total/SUMPRODUCT(SSP_NOI_Rng*(1-F$11)/(AppCap_Rng+SSP_CapAdj+$C12))</f>
        <v>0.914096488719513</v>
      </c>
      <c r="G12" s="103" t="n">
        <f aca="false">Mortgage_Total/SUMPRODUCT(SSP_NOI_Rng*(1-G$11)/(AppCap_Rng+SSP_CapAdj+$C12))</f>
        <v>0.938801799225446</v>
      </c>
      <c r="H12" s="103" t="n">
        <f aca="false">Mortgage_Total/SUMPRODUCT(SSP_NOI_Rng*(1-H$11)/(AppCap_Rng+SSP_CapAdj+$C12))</f>
        <v>0.964879626981709</v>
      </c>
    </row>
    <row r="13" customFormat="false" ht="15" hidden="false" customHeight="false" outlineLevel="0" collapsed="false">
      <c r="C13" s="101" t="n">
        <f aca="false">C12+$D$4</f>
        <v>0.0025</v>
      </c>
      <c r="D13" s="103" t="n">
        <f aca="false">Mortgage_Total/SUMPRODUCT(SSP_NOI_Rng*(1-D$11)/(AppCap_Rng+SSP_CapAdj+$C13))</f>
        <v>0.906085073124201</v>
      </c>
      <c r="E13" s="103" t="n">
        <f aca="false">Mortgage_Total/SUMPRODUCT(SSP_NOI_Rng*(1-E$11)/(AppCap_Rng+SSP_CapAdj+$C13))</f>
        <v>0.92931802371713</v>
      </c>
      <c r="F13" s="103" t="n">
        <f aca="false">Mortgage_Total/SUMPRODUCT(SSP_NOI_Rng*(1-F$11)/(AppCap_Rng+SSP_CapAdj+$C13))</f>
        <v>0.95377376118337</v>
      </c>
      <c r="G13" s="103" t="n">
        <f aca="false">Mortgage_Total/SUMPRODUCT(SSP_NOI_Rng*(1-G$11)/(AppCap_Rng+SSP_CapAdj+$C13))</f>
        <v>0.979551430404542</v>
      </c>
      <c r="H13" s="103" t="n">
        <f aca="false">Mortgage_Total/SUMPRODUCT(SSP_NOI_Rng*(1-H$11)/(AppCap_Rng+SSP_CapAdj+$C13))</f>
        <v>1.00676119236022</v>
      </c>
    </row>
    <row r="14" customFormat="false" ht="15" hidden="false" customHeight="false" outlineLevel="0" collapsed="false">
      <c r="C14" s="101" t="n">
        <f aca="false">C13+$D$4</f>
        <v>0.005</v>
      </c>
      <c r="D14" s="103" t="n">
        <f aca="false">Mortgage_Total/SUMPRODUCT(SSP_NOI_Rng*(1-D$11)/(AppCap_Rng+SSP_CapAdj+$C14))</f>
        <v>0.943767192345247</v>
      </c>
      <c r="E14" s="103" t="n">
        <f aca="false">Mortgage_Total/SUMPRODUCT(SSP_NOI_Rng*(1-E$11)/(AppCap_Rng+SSP_CapAdj+$C14))</f>
        <v>0.96796635112333</v>
      </c>
      <c r="F14" s="103" t="n">
        <f aca="false">Mortgage_Total/SUMPRODUCT(SSP_NOI_Rng*(1-F$11)/(AppCap_Rng+SSP_CapAdj+$C14))</f>
        <v>0.993439149837102</v>
      </c>
      <c r="G14" s="103" t="n">
        <f aca="false">Mortgage_Total/SUMPRODUCT(SSP_NOI_Rng*(1-G$11)/(AppCap_Rng+SSP_CapAdj+$C14))</f>
        <v>1.02028885658946</v>
      </c>
      <c r="H14" s="103" t="n">
        <f aca="false">Mortgage_Total/SUMPRODUCT(SSP_NOI_Rng*(1-H$11)/(AppCap_Rng+SSP_CapAdj+$C14))</f>
        <v>1.04863021371694</v>
      </c>
    </row>
    <row r="15" customFormat="false" ht="15" hidden="false" customHeight="false" outlineLevel="0" collapsed="false">
      <c r="C15" s="101" t="n">
        <f aca="false">C14+$D$4</f>
        <v>0.0075</v>
      </c>
      <c r="D15" s="103" t="n">
        <f aca="false">Mortgage_Total/SUMPRODUCT(SSP_NOI_Rng*(1-D$11)/(AppCap_Rng+SSP_CapAdj+$C15))</f>
        <v>0.981439292060881</v>
      </c>
      <c r="E15" s="103" t="n">
        <f aca="false">Mortgage_Total/SUMPRODUCT(SSP_NOI_Rng*(1-E$11)/(AppCap_Rng+SSP_CapAdj+$C15))</f>
        <v>1.00660440211372</v>
      </c>
      <c r="F15" s="103" t="n">
        <f aca="false">Mortgage_Total/SUMPRODUCT(SSP_NOI_Rng*(1-F$11)/(AppCap_Rng+SSP_CapAdj+$C15))</f>
        <v>1.03309399164303</v>
      </c>
      <c r="G15" s="103" t="n">
        <f aca="false">Mortgage_Total/SUMPRODUCT(SSP_NOI_Rng*(1-G$11)/(AppCap_Rng+SSP_CapAdj+$C15))</f>
        <v>1.06101545087663</v>
      </c>
      <c r="H15" s="103" t="n">
        <f aca="false">Mortgage_Total/SUMPRODUCT(SSP_NOI_Rng*(1-H$11)/(AppCap_Rng+SSP_CapAdj+$C15))</f>
        <v>1.09048810228987</v>
      </c>
    </row>
    <row r="16" customFormat="false" ht="15" hidden="false" customHeight="false" outlineLevel="0" collapsed="false">
      <c r="C16" s="101" t="n">
        <f aca="false">C15+$D$4</f>
        <v>0.01</v>
      </c>
      <c r="D16" s="103" t="n">
        <f aca="false">Mortgage_Total/SUMPRODUCT(SSP_NOI_Rng*(1-D$11)/(AppCap_Rng+SSP_CapAdj+$C16))</f>
        <v>1.01910245869338</v>
      </c>
      <c r="E16" s="103" t="n">
        <f aca="false">Mortgage_Total/SUMPRODUCT(SSP_NOI_Rng*(1-E$11)/(AppCap_Rng+SSP_CapAdj+$C16))</f>
        <v>1.04523329096757</v>
      </c>
      <c r="F16" s="103" t="n">
        <f aca="false">Mortgage_Total/SUMPRODUCT(SSP_NOI_Rng*(1-F$11)/(AppCap_Rng+SSP_CapAdj+$C16))</f>
        <v>1.07273943020356</v>
      </c>
      <c r="G16" s="103" t="n">
        <f aca="false">Mortgage_Total/SUMPRODUCT(SSP_NOI_Rng*(1-G$11)/(AppCap_Rng+SSP_CapAdj+$C16))</f>
        <v>1.10173238777663</v>
      </c>
      <c r="H16" s="103" t="n">
        <f aca="false">Mortgage_Total/SUMPRODUCT(SSP_NOI_Rng*(1-H$11)/(AppCap_Rng+SSP_CapAdj+$C16))</f>
        <v>1.13233606521487</v>
      </c>
    </row>
    <row r="19" customFormat="false" ht="15" hidden="false" customHeight="false" outlineLevel="0" collapsed="false">
      <c r="C19" s="21" t="s">
        <v>380</v>
      </c>
    </row>
    <row r="20" customFormat="false" ht="15" hidden="false" customHeight="false" outlineLevel="0" collapsed="false">
      <c r="C20" s="2" t="s">
        <v>378</v>
      </c>
      <c r="D20" s="99" t="n">
        <v>0</v>
      </c>
      <c r="E20" s="100" t="n">
        <f aca="false">D20+$D$5</f>
        <v>0.025</v>
      </c>
      <c r="F20" s="100" t="n">
        <f aca="false">E20+$D$5</f>
        <v>0.05</v>
      </c>
      <c r="G20" s="100" t="n">
        <f aca="false">F20+$D$5</f>
        <v>0.075</v>
      </c>
      <c r="H20" s="100" t="n">
        <f aca="false">G20+$D$5</f>
        <v>0.1</v>
      </c>
    </row>
    <row r="21" customFormat="false" ht="15" hidden="false" customHeight="false" outlineLevel="0" collapsed="false">
      <c r="C21" s="101" t="n">
        <f aca="false">SSP_CapPrem</f>
        <v>0</v>
      </c>
      <c r="D21" s="102" t="n">
        <f aca="false">TotalDebt_Total/SUMPRODUCT(SSP_NOI_Rng*(1-D$20)/(AppCap_Rng+SSP_CapAdj+$C21))</f>
        <v>0.947552253552776</v>
      </c>
      <c r="E21" s="103" t="n">
        <f aca="false">TotalDebt_Total/SUMPRODUCT(SSP_NOI_Rng*(1-E$20)/(AppCap_Rng+SSP_CapAdj+$C21))</f>
        <v>0.971848465182334</v>
      </c>
      <c r="F21" s="103" t="n">
        <f aca="false">TotalDebt_Total/SUMPRODUCT(SSP_NOI_Rng*(1-F$20)/(AppCap_Rng+SSP_CapAdj+$C21))</f>
        <v>0.997423424792395</v>
      </c>
      <c r="G21" s="103" t="n">
        <f aca="false">TotalDebt_Total/SUMPRODUCT(SSP_NOI_Rng*(1-G$20)/(AppCap_Rng+SSP_CapAdj+$C21))</f>
        <v>1.02438081465165</v>
      </c>
      <c r="H21" s="103" t="n">
        <f aca="false">TotalDebt_Total/SUMPRODUCT(SSP_NOI_Rng*(1-H$20)/(AppCap_Rng+SSP_CapAdj+$C21))</f>
        <v>1.05283583728086</v>
      </c>
    </row>
    <row r="22" customFormat="false" ht="15" hidden="false" customHeight="false" outlineLevel="0" collapsed="false">
      <c r="C22" s="101" t="n">
        <f aca="false">C21+$D$4</f>
        <v>0.0025</v>
      </c>
      <c r="D22" s="103" t="n">
        <f aca="false">TotalDebt_Total/SUMPRODUCT(SSP_NOI_Rng*(1-D$20)/(AppCap_Rng+SSP_CapAdj+$C22))</f>
        <v>0.988681706955031</v>
      </c>
      <c r="E22" s="103" t="n">
        <f aca="false">TotalDebt_Total/SUMPRODUCT(SSP_NOI_Rng*(1-E$20)/(AppCap_Rng+SSP_CapAdj+$C22))</f>
        <v>1.01403251995388</v>
      </c>
      <c r="F22" s="103" t="n">
        <f aca="false">TotalDebt_Total/SUMPRODUCT(SSP_NOI_Rng*(1-F$20)/(AppCap_Rng+SSP_CapAdj+$C22))</f>
        <v>1.04071758626845</v>
      </c>
      <c r="G22" s="103" t="n">
        <f aca="false">TotalDebt_Total/SUMPRODUCT(SSP_NOI_Rng*(1-G$20)/(AppCap_Rng+SSP_CapAdj+$C22))</f>
        <v>1.06884508860003</v>
      </c>
      <c r="H22" s="103" t="n">
        <f aca="false">TotalDebt_Total/SUMPRODUCT(SSP_NOI_Rng*(1-H$20)/(AppCap_Rng+SSP_CapAdj+$C22))</f>
        <v>1.09853522995003</v>
      </c>
    </row>
    <row r="23" customFormat="false" ht="15" hidden="false" customHeight="false" outlineLevel="0" collapsed="false">
      <c r="C23" s="101" t="n">
        <f aca="false">C22+$D$4</f>
        <v>0.005</v>
      </c>
      <c r="D23" s="103" t="n">
        <f aca="false">TotalDebt_Total/SUMPRODUCT(SSP_NOI_Rng*(1-D$20)/(AppCap_Rng+SSP_CapAdj+$C23))</f>
        <v>1.02979884160188</v>
      </c>
      <c r="E23" s="103" t="n">
        <f aca="false">TotalDebt_Total/SUMPRODUCT(SSP_NOI_Rng*(1-E$20)/(AppCap_Rng+SSP_CapAdj+$C23))</f>
        <v>1.05620394010449</v>
      </c>
      <c r="F23" s="103" t="n">
        <f aca="false">TotalDebt_Total/SUMPRODUCT(SSP_NOI_Rng*(1-F$20)/(AppCap_Rng+SSP_CapAdj+$C23))</f>
        <v>1.08399878063356</v>
      </c>
      <c r="G23" s="103" t="n">
        <f aca="false">TotalDebt_Total/SUMPRODUCT(SSP_NOI_Rng*(1-G$20)/(AppCap_Rng+SSP_CapAdj+$C23))</f>
        <v>1.113296044975</v>
      </c>
      <c r="H23" s="103" t="n">
        <f aca="false">TotalDebt_Total/SUMPRODUCT(SSP_NOI_Rng*(1-H$20)/(AppCap_Rng+SSP_CapAdj+$C23))</f>
        <v>1.1442209351132</v>
      </c>
    </row>
    <row r="24" customFormat="false" ht="15" hidden="false" customHeight="false" outlineLevel="0" collapsed="false">
      <c r="C24" s="101" t="n">
        <f aca="false">C23+$D$4</f>
        <v>0.0075</v>
      </c>
      <c r="D24" s="103" t="n">
        <f aca="false">TotalDebt_Total/SUMPRODUCT(SSP_NOI_Rng*(1-D$20)/(AppCap_Rng+SSP_CapAdj+$C24))</f>
        <v>1.07090504338822</v>
      </c>
      <c r="E24" s="103" t="n">
        <f aca="false">TotalDebt_Total/SUMPRODUCT(SSP_NOI_Rng*(1-E$20)/(AppCap_Rng+SSP_CapAdj+$C24))</f>
        <v>1.09836414706484</v>
      </c>
      <c r="F24" s="103" t="n">
        <f aca="false">TotalDebt_Total/SUMPRODUCT(SSP_NOI_Rng*(1-F$20)/(AppCap_Rng+SSP_CapAdj+$C24))</f>
        <v>1.12726846672444</v>
      </c>
      <c r="G24" s="103" t="n">
        <f aca="false">TotalDebt_Total/SUMPRODUCT(SSP_NOI_Rng*(1-G$20)/(AppCap_Rng+SSP_CapAdj+$C24))</f>
        <v>1.15773518204132</v>
      </c>
      <c r="H24" s="103" t="n">
        <f aca="false">TotalDebt_Total/SUMPRODUCT(SSP_NOI_Rng*(1-H$20)/(AppCap_Rng+SSP_CapAdj+$C24))</f>
        <v>1.18989449265357</v>
      </c>
    </row>
    <row r="25" customFormat="false" ht="15" hidden="false" customHeight="false" outlineLevel="0" collapsed="false">
      <c r="C25" s="101" t="n">
        <f aca="false">C24+$D$4</f>
        <v>0.01</v>
      </c>
      <c r="D25" s="103" t="n">
        <f aca="false">TotalDebt_Total/SUMPRODUCT(SSP_NOI_Rng*(1-D$20)/(AppCap_Rng+SSP_CapAdj+$C25))</f>
        <v>1.11200149777209</v>
      </c>
      <c r="E25" s="103" t="n">
        <f aca="false">TotalDebt_Total/SUMPRODUCT(SSP_NOI_Rng*(1-E$20)/(AppCap_Rng+SSP_CapAdj+$C25))</f>
        <v>1.14051435668932</v>
      </c>
      <c r="F25" s="103" t="n">
        <f aca="false">TotalDebt_Total/SUMPRODUCT(SSP_NOI_Rng*(1-F$20)/(AppCap_Rng+SSP_CapAdj+$C25))</f>
        <v>1.17052789239167</v>
      </c>
      <c r="G25" s="103" t="n">
        <f aca="false">TotalDebt_Total/SUMPRODUCT(SSP_NOI_Rng*(1-G$20)/(AppCap_Rng+SSP_CapAdj+$C25))</f>
        <v>1.20216378137523</v>
      </c>
      <c r="H25" s="103" t="n">
        <f aca="false">TotalDebt_Total/SUMPRODUCT(SSP_NOI_Rng*(1-H$20)/(AppCap_Rng+SSP_CapAdj+$C25))</f>
        <v>1.23555721974676</v>
      </c>
    </row>
    <row r="28" customFormat="false" ht="15" hidden="false" customHeight="false" outlineLevel="0" collapsed="false">
      <c r="C28" s="21" t="s">
        <v>381</v>
      </c>
      <c r="J28" s="19" t="s">
        <v>382</v>
      </c>
    </row>
    <row r="29" customFormat="false" ht="15" hidden="false" customHeight="false" outlineLevel="0" collapsed="false">
      <c r="C29" s="2" t="s">
        <v>383</v>
      </c>
      <c r="D29" s="99" t="n">
        <v>0</v>
      </c>
      <c r="E29" s="100" t="n">
        <f aca="false">D29+$D$5</f>
        <v>0.025</v>
      </c>
      <c r="F29" s="100" t="n">
        <f aca="false">E29+$D$5</f>
        <v>0.05</v>
      </c>
      <c r="G29" s="100" t="n">
        <f aca="false">F29+$D$5</f>
        <v>0.075</v>
      </c>
      <c r="H29" s="100" t="n">
        <f aca="false">G29+$D$5</f>
        <v>0.1</v>
      </c>
    </row>
    <row r="30" customFormat="false" ht="15" hidden="false" customHeight="false" outlineLevel="0" collapsed="false">
      <c r="C30" s="101" t="n">
        <f aca="false">C31-$D$6</f>
        <v>0.0225</v>
      </c>
      <c r="D30" s="104" t="n">
        <f aca="false">(SSP_NOI_Total*(1-D$29)+SSP_Res_Total)/(Mortgage_Total*IF($D$7=1,MIN($C30,SOFR_Strike),$C30)*Accrual+Mtg_SpreadInt)</f>
        <v>1.32799598661765</v>
      </c>
      <c r="E30" s="104" t="n">
        <f aca="false">(SSP_NOI_Total*(1-E$29)+SSP_Res_Total)/(Mortgage_Total*IF($D$7=1,MIN($C30,SOFR_Strike),$C30)*Accrual+Mtg_SpreadInt)</f>
        <v>1.29341904817953</v>
      </c>
      <c r="F30" s="104" t="n">
        <f aca="false">(SSP_NOI_Total*(1-F$29)+SSP_Res_Total)/(Mortgage_Total*IF($D$7=1,MIN($C30,SOFR_Strike),$C30)*Accrual+Mtg_SpreadInt)</f>
        <v>1.25884210974142</v>
      </c>
      <c r="G30" s="104" t="n">
        <f aca="false">(SSP_NOI_Total*(1-G$29)+SSP_Res_Total)/(Mortgage_Total*IF($D$7=1,MIN($C30,SOFR_Strike),$C30)*Accrual+Mtg_SpreadInt)</f>
        <v>1.2242651713033</v>
      </c>
      <c r="H30" s="104" t="n">
        <f aca="false">(SSP_NOI_Total*(1-H$29)+SSP_Res_Total)/(Mortgage_Total*IF($D$7=1,MIN($C30,SOFR_Strike),$C30)*Accrual+Mtg_SpreadInt)</f>
        <v>1.18968823286519</v>
      </c>
    </row>
    <row r="31" customFormat="false" ht="15" hidden="false" customHeight="false" outlineLevel="0" collapsed="false">
      <c r="C31" s="101" t="n">
        <f aca="false">C32-$D$6</f>
        <v>0.0275</v>
      </c>
      <c r="D31" s="104" t="n">
        <f aca="false">(SSP_NOI_Total*(1-D$29)+SSP_Res_Total)/(Mortgage_Total*IF($D$7=1,MIN($C31,SOFR_Strike),$C31)*Accrual+Mtg_SpreadInt)</f>
        <v>1.2014719787463</v>
      </c>
      <c r="E31" s="104" t="n">
        <f aca="false">(SSP_NOI_Total*(1-E$29)+SSP_Res_Total)/(Mortgage_Total*IF($D$7=1,MIN($C31,SOFR_Strike),$C31)*Accrual+Mtg_SpreadInt)</f>
        <v>1.17018933703438</v>
      </c>
      <c r="F31" s="104" t="n">
        <f aca="false">(SSP_NOI_Total*(1-F$29)+SSP_Res_Total)/(Mortgage_Total*IF($D$7=1,MIN($C31,SOFR_Strike),$C31)*Accrual+Mtg_SpreadInt)</f>
        <v>1.13890669532246</v>
      </c>
      <c r="G31" s="104" t="n">
        <f aca="false">(SSP_NOI_Total*(1-G$29)+SSP_Res_Total)/(Mortgage_Total*IF($D$7=1,MIN($C31,SOFR_Strike),$C31)*Accrual+Mtg_SpreadInt)</f>
        <v>1.10762405361053</v>
      </c>
      <c r="H31" s="104" t="n">
        <f aca="false">(SSP_NOI_Total*(1-H$29)+SSP_Res_Total)/(Mortgage_Total*IF($D$7=1,MIN($C31,SOFR_Strike),$C31)*Accrual+Mtg_SpreadInt)</f>
        <v>1.07634141189861</v>
      </c>
    </row>
    <row r="32" customFormat="false" ht="15" hidden="false" customHeight="false" outlineLevel="0" collapsed="false">
      <c r="C32" s="101" t="n">
        <f aca="false">SOFR_Assumed</f>
        <v>0.0325</v>
      </c>
      <c r="D32" s="105" t="n">
        <f aca="false">(SSP_NOI_Total*(1-D$29)+SSP_Res_Total)/(Mortgage_Total*IF($D$7=1,MIN($C32,SOFR_Strike),$C32)*Accrual+Mtg_SpreadInt)</f>
        <v>1.09695980244617</v>
      </c>
      <c r="E32" s="104" t="n">
        <f aca="false">(SSP_NOI_Total*(1-E$29)+SSP_Res_Total)/(Mortgage_Total*IF($D$7=1,MIN($C32,SOFR_Strike),$C32)*Accrual+Mtg_SpreadInt)</f>
        <v>1.0683983369444</v>
      </c>
      <c r="F32" s="104" t="n">
        <f aca="false">(SSP_NOI_Total*(1-F$29)+SSP_Res_Total)/(Mortgage_Total*IF($D$7=1,MIN($C32,SOFR_Strike),$C32)*Accrual+Mtg_SpreadInt)</f>
        <v>1.03983687144263</v>
      </c>
      <c r="G32" s="104" t="n">
        <f aca="false">(SSP_NOI_Total*(1-G$29)+SSP_Res_Total)/(Mortgage_Total*IF($D$7=1,MIN($C32,SOFR_Strike),$C32)*Accrual+Mtg_SpreadInt)</f>
        <v>1.01127540594086</v>
      </c>
      <c r="H32" s="104" t="n">
        <f aca="false">(SSP_NOI_Total*(1-H$29)+SSP_Res_Total)/(Mortgage_Total*IF($D$7=1,MIN($C32,SOFR_Strike),$C32)*Accrual+Mtg_SpreadInt)</f>
        <v>0.982713940439094</v>
      </c>
    </row>
    <row r="33" customFormat="false" ht="15" hidden="false" customHeight="false" outlineLevel="0" collapsed="false">
      <c r="C33" s="101" t="n">
        <f aca="false">C32+$D$6</f>
        <v>0.0375</v>
      </c>
      <c r="D33" s="104" t="n">
        <f aca="false">(SSP_NOI_Total*(1-D$29)+SSP_Res_Total)/(Mortgage_Total*IF($D$7=1,MIN($C33,SOFR_Strike),$C33)*Accrual+Mtg_SpreadInt)</f>
        <v>1.00917492709036</v>
      </c>
      <c r="E33" s="104" t="n">
        <f aca="false">(SSP_NOI_Total*(1-E$29)+SSP_Res_Total)/(Mortgage_Total*IF($D$7=1,MIN($C33,SOFR_Strike),$C33)*Accrual+Mtg_SpreadInt)</f>
        <v>0.982899110236304</v>
      </c>
      <c r="F33" s="104" t="n">
        <f aca="false">(SSP_NOI_Total*(1-F$29)+SSP_Res_Total)/(Mortgage_Total*IF($D$7=1,MIN($C33,SOFR_Strike),$C33)*Accrual+Mtg_SpreadInt)</f>
        <v>0.956623293382243</v>
      </c>
      <c r="G33" s="104" t="n">
        <f aca="false">(SSP_NOI_Total*(1-G$29)+SSP_Res_Total)/(Mortgage_Total*IF($D$7=1,MIN($C33,SOFR_Strike),$C33)*Accrual+Mtg_SpreadInt)</f>
        <v>0.930347476528183</v>
      </c>
      <c r="H33" s="104" t="n">
        <f aca="false">(SSP_NOI_Total*(1-H$29)+SSP_Res_Total)/(Mortgage_Total*IF($D$7=1,MIN($C33,SOFR_Strike),$C33)*Accrual+Mtg_SpreadInt)</f>
        <v>0.904071659674122</v>
      </c>
    </row>
    <row r="34" customFormat="false" ht="15" hidden="false" customHeight="false" outlineLevel="0" collapsed="false">
      <c r="C34" s="101" t="n">
        <f aca="false">C33+$D$6</f>
        <v>0.0425</v>
      </c>
      <c r="D34" s="104" t="n">
        <f aca="false">(SSP_NOI_Total*(1-D$29)+SSP_Res_Total)/(Mortgage_Total*IF($D$7=1,MIN($C34,SOFR_Strike),$C34)*Accrual+Mtg_SpreadInt)</f>
        <v>0.934399072978749</v>
      </c>
      <c r="E34" s="104" t="n">
        <f aca="false">(SSP_NOI_Total*(1-E$29)+SSP_Res_Total)/(Mortgage_Total*IF($D$7=1,MIN($C34,SOFR_Strike),$C34)*Accrual+Mtg_SpreadInt)</f>
        <v>0.910070189797929</v>
      </c>
      <c r="F34" s="104" t="n">
        <f aca="false">(SSP_NOI_Total*(1-F$29)+SSP_Res_Total)/(Mortgage_Total*IF($D$7=1,MIN($C34,SOFR_Strike),$C34)*Accrual+Mtg_SpreadInt)</f>
        <v>0.88574130661711</v>
      </c>
      <c r="G34" s="104" t="n">
        <f aca="false">(SSP_NOI_Total*(1-G$29)+SSP_Res_Total)/(Mortgage_Total*IF($D$7=1,MIN($C34,SOFR_Strike),$C34)*Accrual+Mtg_SpreadInt)</f>
        <v>0.86141242343629</v>
      </c>
      <c r="H34" s="104" t="n">
        <f aca="false">(SSP_NOI_Total*(1-H$29)+SSP_Res_Total)/(Mortgage_Total*IF($D$7=1,MIN($C34,SOFR_Strike),$C34)*Accrual+Mtg_SpreadInt)</f>
        <v>0.837083540255471</v>
      </c>
    </row>
    <row r="37" customFormat="false" ht="15" hidden="false" customHeight="false" outlineLevel="0" collapsed="false">
      <c r="C37" s="21" t="s">
        <v>384</v>
      </c>
    </row>
    <row r="38" customFormat="false" ht="15" hidden="false" customHeight="false" outlineLevel="0" collapsed="false">
      <c r="C38" s="2" t="s">
        <v>383</v>
      </c>
      <c r="D38" s="99" t="n">
        <v>0</v>
      </c>
      <c r="E38" s="100" t="n">
        <f aca="false">D38+$D$5</f>
        <v>0.025</v>
      </c>
      <c r="F38" s="100" t="n">
        <f aca="false">E38+$D$5</f>
        <v>0.05</v>
      </c>
      <c r="G38" s="100" t="n">
        <f aca="false">F38+$D$5</f>
        <v>0.075</v>
      </c>
      <c r="H38" s="100" t="n">
        <f aca="false">G38+$D$5</f>
        <v>0.1</v>
      </c>
    </row>
    <row r="39" customFormat="false" ht="15" hidden="false" customHeight="false" outlineLevel="0" collapsed="false">
      <c r="C39" s="101" t="n">
        <f aca="false">C40-$D$6</f>
        <v>0.0225</v>
      </c>
      <c r="D39" s="104" t="n">
        <f aca="false">(SSP_NOI_Total*(1-D$38)+SSP_Res_Total)/((Mortgage_Total*IF($D$7=1,MIN($C39,SOFR_Strike),$C39)*Accrual+Mtg_SpreadInt)+Mezz_Interest)</f>
        <v>1.09643814909042</v>
      </c>
      <c r="E39" s="104" t="n">
        <f aca="false">(SSP_NOI_Total*(1-E$38)+SSP_Res_Total)/((Mortgage_Total*IF($D$7=1,MIN($C39,SOFR_Strike),$C39)*Accrual+Mtg_SpreadInt)+Mezz_Interest)</f>
        <v>1.06789026584052</v>
      </c>
      <c r="F39" s="104" t="n">
        <f aca="false">(SSP_NOI_Total*(1-F$38)+SSP_Res_Total)/((Mortgage_Total*IF($D$7=1,MIN($C39,SOFR_Strike),$C39)*Accrual+Mtg_SpreadInt)+Mezz_Interest)</f>
        <v>1.03934238259062</v>
      </c>
      <c r="G39" s="104" t="n">
        <f aca="false">(SSP_NOI_Total*(1-G$38)+SSP_Res_Total)/((Mortgage_Total*IF($D$7=1,MIN($C39,SOFR_Strike),$C39)*Accrual+Mtg_SpreadInt)+Mezz_Interest)</f>
        <v>1.01079449934071</v>
      </c>
      <c r="H39" s="104" t="n">
        <f aca="false">(SSP_NOI_Total*(1-H$38)+SSP_Res_Total)/((Mortgage_Total*IF($D$7=1,MIN($C39,SOFR_Strike),$C39)*Accrual+Mtg_SpreadInt)+Mezz_Interest)</f>
        <v>0.98224661609081</v>
      </c>
    </row>
    <row r="40" customFormat="false" ht="15" hidden="false" customHeight="false" outlineLevel="0" collapsed="false">
      <c r="C40" s="101" t="n">
        <f aca="false">C41-$D$6</f>
        <v>0.0275</v>
      </c>
      <c r="D40" s="104" t="n">
        <f aca="false">(SSP_NOI_Total*(1-D$38)+SSP_Res_Total)/((Mortgage_Total*IF($D$7=1,MIN($C40,SOFR_Strike),$C40)*Accrual+Mtg_SpreadInt)+Mezz_Interest)</f>
        <v>1.00873340746718</v>
      </c>
      <c r="E40" s="104" t="n">
        <f aca="false">(SSP_NOI_Total*(1-E$38)+SSP_Res_Total)/((Mortgage_Total*IF($D$7=1,MIN($C40,SOFR_Strike),$C40)*Accrual+Mtg_SpreadInt)+Mezz_Interest)</f>
        <v>0.982469086428607</v>
      </c>
      <c r="F40" s="104" t="n">
        <f aca="false">(SSP_NOI_Total*(1-F$38)+SSP_Res_Total)/((Mortgage_Total*IF($D$7=1,MIN($C40,SOFR_Strike),$C40)*Accrual+Mtg_SpreadInt)+Mezz_Interest)</f>
        <v>0.956204765390034</v>
      </c>
      <c r="G40" s="104" t="n">
        <f aca="false">(SSP_NOI_Total*(1-G$38)+SSP_Res_Total)/((Mortgage_Total*IF($D$7=1,MIN($C40,SOFR_Strike),$C40)*Accrual+Mtg_SpreadInt)+Mezz_Interest)</f>
        <v>0.929940444351461</v>
      </c>
      <c r="H40" s="104" t="n">
        <f aca="false">(SSP_NOI_Total*(1-H$38)+SSP_Res_Total)/((Mortgage_Total*IF($D$7=1,MIN($C40,SOFR_Strike),$C40)*Accrual+Mtg_SpreadInt)+Mezz_Interest)</f>
        <v>0.903676123312887</v>
      </c>
    </row>
    <row r="41" customFormat="false" ht="15" hidden="false" customHeight="false" outlineLevel="0" collapsed="false">
      <c r="C41" s="101" t="n">
        <f aca="false">SOFR_Assumed</f>
        <v>0.0325</v>
      </c>
      <c r="D41" s="105" t="n">
        <f aca="false">(SSP_NOI_Total*(1-D$38)+SSP_Res_Total)/((Mortgage_Total*IF($D$7=1,MIN($C41,SOFR_Strike),$C41)*Accrual+Mtg_SpreadInt)+Mezz_Interest)</f>
        <v>0.934020546745346</v>
      </c>
      <c r="E41" s="104" t="n">
        <f aca="false">(SSP_NOI_Total*(1-E$38)+SSP_Res_Total)/((Mortgage_Total*IF($D$7=1,MIN($C41,SOFR_Strike),$C41)*Accrual+Mtg_SpreadInt)+Mezz_Interest)</f>
        <v>0.909701519225538</v>
      </c>
      <c r="F41" s="104" t="n">
        <f aca="false">(SSP_NOI_Total*(1-F$38)+SSP_Res_Total)/((Mortgage_Total*IF($D$7=1,MIN($C41,SOFR_Strike),$C41)*Accrual+Mtg_SpreadInt)+Mezz_Interest)</f>
        <v>0.885382491705731</v>
      </c>
      <c r="G41" s="104" t="n">
        <f aca="false">(SSP_NOI_Total*(1-G$38)+SSP_Res_Total)/((Mortgage_Total*IF($D$7=1,MIN($C41,SOFR_Strike),$C41)*Accrual+Mtg_SpreadInt)+Mezz_Interest)</f>
        <v>0.861063464185923</v>
      </c>
      <c r="H41" s="104" t="n">
        <f aca="false">(SSP_NOI_Total*(1-H$38)+SSP_Res_Total)/((Mortgage_Total*IF($D$7=1,MIN($C41,SOFR_Strike),$C41)*Accrual+Mtg_SpreadInt)+Mezz_Interest)</f>
        <v>0.836744436666116</v>
      </c>
    </row>
    <row r="42" customFormat="false" ht="15" hidden="false" customHeight="false" outlineLevel="0" collapsed="false">
      <c r="C42" s="101" t="n">
        <f aca="false">C41+$D$6</f>
        <v>0.0375</v>
      </c>
      <c r="D42" s="104" t="n">
        <f aca="false">(SSP_NOI_Total*(1-D$38)+SSP_Res_Total)/((Mortgage_Total*IF($D$7=1,MIN($C42,SOFR_Strike),$C42)*Accrual+Mtg_SpreadInt)+Mezz_Interest)</f>
        <v>0.869611863943789</v>
      </c>
      <c r="E42" s="104" t="n">
        <f aca="false">(SSP_NOI_Total*(1-E$38)+SSP_Res_Total)/((Mortgage_Total*IF($D$7=1,MIN($C42,SOFR_Strike),$C42)*Accrual+Mtg_SpreadInt)+Mezz_Interest)</f>
        <v>0.846969840784349</v>
      </c>
      <c r="F42" s="104" t="n">
        <f aca="false">(SSP_NOI_Total*(1-F$38)+SSP_Res_Total)/((Mortgage_Total*IF($D$7=1,MIN($C42,SOFR_Strike),$C42)*Accrual+Mtg_SpreadInt)+Mezz_Interest)</f>
        <v>0.82432781762491</v>
      </c>
      <c r="G42" s="104" t="n">
        <f aca="false">(SSP_NOI_Total*(1-G$38)+SSP_Res_Total)/((Mortgage_Total*IF($D$7=1,MIN($C42,SOFR_Strike),$C42)*Accrual+Mtg_SpreadInt)+Mezz_Interest)</f>
        <v>0.801685794465471</v>
      </c>
      <c r="H42" s="104" t="n">
        <f aca="false">(SSP_NOI_Total*(1-H$38)+SSP_Res_Total)/((Mortgage_Total*IF($D$7=1,MIN($C42,SOFR_Strike),$C42)*Accrual+Mtg_SpreadInt)+Mezz_Interest)</f>
        <v>0.779043771306032</v>
      </c>
    </row>
    <row r="43" customFormat="false" ht="15" hidden="false" customHeight="false" outlineLevel="0" collapsed="false">
      <c r="C43" s="101" t="n">
        <f aca="false">C42+$D$6</f>
        <v>0.0425</v>
      </c>
      <c r="D43" s="104" t="n">
        <f aca="false">(SSP_NOI_Total*(1-D$38)+SSP_Res_Total)/((Mortgage_Total*IF($D$7=1,MIN($C43,SOFR_Strike),$C43)*Accrual+Mtg_SpreadInt)+Mezz_Interest)</f>
        <v>0.813513191100803</v>
      </c>
      <c r="E43" s="104" t="n">
        <f aca="false">(SSP_NOI_Total*(1-E$38)+SSP_Res_Total)/((Mortgage_Total*IF($D$7=1,MIN($C43,SOFR_Strike),$C43)*Accrual+Mtg_SpreadInt)+Mezz_Interest)</f>
        <v>0.792331805154803</v>
      </c>
      <c r="F43" s="104" t="n">
        <f aca="false">(SSP_NOI_Total*(1-F$38)+SSP_Res_Total)/((Mortgage_Total*IF($D$7=1,MIN($C43,SOFR_Strike),$C43)*Accrual+Mtg_SpreadInt)+Mezz_Interest)</f>
        <v>0.771150419208803</v>
      </c>
      <c r="G43" s="104" t="n">
        <f aca="false">(SSP_NOI_Total*(1-G$38)+SSP_Res_Total)/((Mortgage_Total*IF($D$7=1,MIN($C43,SOFR_Strike),$C43)*Accrual+Mtg_SpreadInt)+Mezz_Interest)</f>
        <v>0.749969033262804</v>
      </c>
      <c r="H43" s="104" t="n">
        <f aca="false">(SSP_NOI_Total*(1-H$38)+SSP_Res_Total)/((Mortgage_Total*IF($D$7=1,MIN($C43,SOFR_Strike),$C43)*Accrual+Mtg_SpreadInt)+Mezz_Interest)</f>
        <v>0.728787647316804</v>
      </c>
    </row>
    <row r="46" customFormat="false" ht="15" hidden="false" customHeight="false" outlineLevel="0" collapsed="false">
      <c r="C46" s="21" t="s">
        <v>385</v>
      </c>
    </row>
    <row r="47" customFormat="false" ht="15" hidden="false" customHeight="false" outlineLevel="0" collapsed="false">
      <c r="C47" s="2" t="s">
        <v>386</v>
      </c>
      <c r="D47" s="100" t="n">
        <f aca="false">D11</f>
        <v>0</v>
      </c>
      <c r="E47" s="100" t="n">
        <f aca="false">E11</f>
        <v>0.025</v>
      </c>
      <c r="F47" s="100" t="n">
        <f aca="false">F11</f>
        <v>0.05</v>
      </c>
      <c r="G47" s="100" t="n">
        <f aca="false">G11</f>
        <v>0.075</v>
      </c>
      <c r="H47" s="100" t="n">
        <f aca="false">H11</f>
        <v>0.1</v>
      </c>
    </row>
    <row r="48" customFormat="false" ht="15" hidden="false" customHeight="false" outlineLevel="0" collapsed="false">
      <c r="C48" s="106" t="s">
        <v>387</v>
      </c>
      <c r="D48" s="107" t="n">
        <f aca="false">Rollup_NOI_UW*(1-D$47)/Mortgage_Total</f>
        <v>0.0751311139471285</v>
      </c>
      <c r="E48" s="107" t="n">
        <f aca="false">Rollup_NOI_UW*(1-E$47)/Mortgage_Total</f>
        <v>0.0732528360984503</v>
      </c>
      <c r="F48" s="107" t="n">
        <f aca="false">Rollup_NOI_UW*(1-F$47)/Mortgage_Total</f>
        <v>0.0713745582497721</v>
      </c>
      <c r="G48" s="107" t="n">
        <f aca="false">Rollup_NOI_UW*(1-G$47)/Mortgage_Total</f>
        <v>0.0694962804010939</v>
      </c>
      <c r="H48" s="107" t="n">
        <f aca="false">Rollup_NOI_UW*(1-H$47)/Mortgage_Total</f>
        <v>0.0676180025524157</v>
      </c>
    </row>
    <row r="49" customFormat="false" ht="15" hidden="false" customHeight="false" outlineLevel="0" collapsed="false">
      <c r="C49" s="106" t="s">
        <v>388</v>
      </c>
      <c r="D49" s="107" t="n">
        <f aca="false">SSP_NOI_Total*(1-D$47)/Mortgage_Total</f>
        <v>0.066580584280025</v>
      </c>
      <c r="E49" s="107" t="n">
        <f aca="false">SSP_NOI_Total*(1-E$47)/Mortgage_Total</f>
        <v>0.0649160696730243</v>
      </c>
      <c r="F49" s="107" t="n">
        <f aca="false">SSP_NOI_Total*(1-F$47)/Mortgage_Total</f>
        <v>0.0632515550660237</v>
      </c>
      <c r="G49" s="107" t="n">
        <f aca="false">SSP_NOI_Total*(1-G$47)/Mortgage_Total</f>
        <v>0.0615870404590231</v>
      </c>
      <c r="H49" s="107" t="n">
        <f aca="false">SSP_NOI_Total*(1-H$47)/Mortgage_Total</f>
        <v>0.0599225258520225</v>
      </c>
    </row>
    <row r="50" customFormat="false" ht="15" hidden="false" customHeight="false" outlineLevel="0" collapsed="false">
      <c r="C50" s="106" t="s">
        <v>389</v>
      </c>
      <c r="D50" s="107" t="n">
        <f aca="false">Rollup_NOI_UW*(1-D$47)/TotalDebt_Total</f>
        <v>0.0688544962406015</v>
      </c>
      <c r="E50" s="107" t="n">
        <f aca="false">Rollup_NOI_UW*(1-E$47)/TotalDebt_Total</f>
        <v>0.0671331338345865</v>
      </c>
      <c r="F50" s="107" t="n">
        <f aca="false">Rollup_NOI_UW*(1-F$47)/TotalDebt_Total</f>
        <v>0.0654117714285714</v>
      </c>
      <c r="G50" s="107" t="n">
        <f aca="false">Rollup_NOI_UW*(1-G$47)/TotalDebt_Total</f>
        <v>0.0636904090225564</v>
      </c>
      <c r="H50" s="107" t="n">
        <f aca="false">Rollup_NOI_UW*(1-H$47)/TotalDebt_Total</f>
        <v>0.0619690466165414</v>
      </c>
    </row>
    <row r="51" customFormat="false" ht="15" hidden="false" customHeight="false" outlineLevel="0" collapsed="false">
      <c r="C51" s="106" t="s">
        <v>390</v>
      </c>
      <c r="D51" s="107" t="n">
        <f aca="false">SSP_NOI_Total*(1-D$47)/TotalDebt_Total</f>
        <v>0.0610182965373328</v>
      </c>
      <c r="E51" s="107" t="n">
        <f aca="false">SSP_NOI_Total*(1-E$47)/TotalDebt_Total</f>
        <v>0.0594928391238995</v>
      </c>
      <c r="F51" s="107" t="n">
        <f aca="false">SSP_NOI_Total*(1-F$47)/TotalDebt_Total</f>
        <v>0.0579673817104662</v>
      </c>
      <c r="G51" s="107" t="n">
        <f aca="false">SSP_NOI_Total*(1-G$47)/TotalDebt_Total</f>
        <v>0.0564419242970329</v>
      </c>
      <c r="H51" s="107" t="n">
        <f aca="false">SSP_NOI_Total*(1-H$47)/TotalDebt_Total</f>
        <v>0.0549164668835995</v>
      </c>
    </row>
    <row r="53" customFormat="false" ht="15" hidden="false" customHeight="false" outlineLevel="0" collapsed="false">
      <c r="C53" s="19" t="s">
        <v>391</v>
      </c>
    </row>
  </sheetData>
  <conditionalFormatting sqref="D12:H16">
    <cfRule type="colorScale" priority="2">
      <colorScale>
        <cfvo type="min" val="0"/>
        <cfvo type="percentile" val="50"/>
        <cfvo type="max" val="0"/>
        <color rgb="FFE2EFDA"/>
        <color rgb="FFFFFFFF"/>
        <color rgb="FFF2DCDB"/>
      </colorScale>
    </cfRule>
  </conditionalFormatting>
  <conditionalFormatting sqref="D21:H25">
    <cfRule type="colorScale" priority="3">
      <colorScale>
        <cfvo type="min" val="0"/>
        <cfvo type="percentile" val="50"/>
        <cfvo type="max" val="0"/>
        <color rgb="FFE2EFDA"/>
        <color rgb="FFFFFFFF"/>
        <color rgb="FFF2DCDB"/>
      </colorScale>
    </cfRule>
  </conditionalFormatting>
  <conditionalFormatting sqref="D30:H34">
    <cfRule type="colorScale" priority="4">
      <colorScale>
        <cfvo type="min" val="0"/>
        <cfvo type="percentile" val="50"/>
        <cfvo type="max" val="0"/>
        <color rgb="FFF2DCDB"/>
        <color rgb="FFFFFFFF"/>
        <color rgb="FFE2EFDA"/>
      </colorScale>
    </cfRule>
  </conditionalFormatting>
  <conditionalFormatting sqref="D39:H43">
    <cfRule type="colorScale" priority="5">
      <colorScale>
        <cfvo type="min" val="0"/>
        <cfvo type="percentile" val="50"/>
        <cfvo type="max" val="0"/>
        <color rgb="FFF2DCDB"/>
        <color rgb="FFFFFFFF"/>
        <color rgb="FFE2EFDA"/>
      </colorScale>
    </cfRule>
  </conditionalFormatting>
  <conditionalFormatting sqref="D48:H48">
    <cfRule type="expression" priority="6" aboveAverage="0" equalAverage="0" bottom="0" percent="0" rank="0" text="" dxfId="0">
      <formula>D48&lt;Trig_DY_Mtg</formula>
    </cfRule>
    <cfRule type="expression" priority="7" aboveAverage="0" equalAverage="0" bottom="0" percent="0" rank="0" text="" dxfId="1">
      <formula>D48&gt;=Trig_DY_Mtg</formula>
    </cfRule>
  </conditionalFormatting>
  <conditionalFormatting sqref="D49:H49">
    <cfRule type="expression" priority="8" aboveAverage="0" equalAverage="0" bottom="0" percent="0" rank="0" text="" dxfId="0">
      <formula>D49&lt;Trig_DY_Mtg</formula>
    </cfRule>
    <cfRule type="expression" priority="9" aboveAverage="0" equalAverage="0" bottom="0" percent="0" rank="0" text="" dxfId="1">
      <formula>D49&gt;=Trig_DY_Mtg</formula>
    </cfRule>
  </conditionalFormatting>
  <conditionalFormatting sqref="D50:H50">
    <cfRule type="expression" priority="10" aboveAverage="0" equalAverage="0" bottom="0" percent="0" rank="0" text="" dxfId="0">
      <formula>D50&lt;Trig_DY_Agg</formula>
    </cfRule>
    <cfRule type="expression" priority="11" aboveAverage="0" equalAverage="0" bottom="0" percent="0" rank="0" text="" dxfId="1">
      <formula>D50&gt;=Trig_DY_Agg</formula>
    </cfRule>
  </conditionalFormatting>
  <conditionalFormatting sqref="D51:H51">
    <cfRule type="expression" priority="12" aboveAverage="0" equalAverage="0" bottom="0" percent="0" rank="0" text="" dxfId="0">
      <formula>D51&lt;Trig_DY_Agg</formula>
    </cfRule>
    <cfRule type="expression" priority="13" aboveAverage="0" equalAverage="0" bottom="0" percent="0" rank="0" text="" dxfId="1">
      <formula>D51&gt;=Trig_DY_Agg</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&amp;L&amp;7 &amp;K9aa0a8CONFIDENTIAL&amp;R&amp;7 &amp;K9aa0a8&amp;P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2F51"/>
    <pageSetUpPr fitToPage="true"/>
  </sheetPr>
  <dimension ref="B1:T4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1" style="0" width="3"/>
    <col collapsed="false" customWidth="true" hidden="false" outlineLevel="0" max="3" min="3" style="0" width="24"/>
    <col collapsed="false" customWidth="true" hidden="false" outlineLevel="0" max="4" min="4" style="0" width="19"/>
    <col collapsed="false" customWidth="true" hidden="false" outlineLevel="0" max="5" min="5" style="0" width="9"/>
    <col collapsed="false" customWidth="true" hidden="false" outlineLevel="0" max="6" min="6" style="0" width="11"/>
    <col collapsed="false" customWidth="true" hidden="false" outlineLevel="0" max="7" min="7" style="0" width="8"/>
    <col collapsed="false" customWidth="true" hidden="false" outlineLevel="0" max="9" min="8" style="0" width="10"/>
    <col collapsed="false" customWidth="true" hidden="false" outlineLevel="0" max="11" min="10" style="0" width="9"/>
    <col collapsed="false" customWidth="true" hidden="false" outlineLevel="0" max="12" min="12" style="0" width="14"/>
    <col collapsed="false" customWidth="true" hidden="false" outlineLevel="0" max="13" min="13" style="0" width="10"/>
    <col collapsed="false" customWidth="true" hidden="false" outlineLevel="0" max="14" min="14" style="0" width="12"/>
    <col collapsed="false" customWidth="true" hidden="false" outlineLevel="0" max="15" min="15" style="0" width="10"/>
    <col collapsed="false" customWidth="true" hidden="false" outlineLevel="0" max="16" min="16" style="0" width="15"/>
    <col collapsed="false" customWidth="true" hidden="false" outlineLevel="0" max="17" min="17" style="0" width="9"/>
    <col collapsed="false" customWidth="true" hidden="false" outlineLevel="0" max="18" min="18" style="0" width="10"/>
    <col collapsed="false" customWidth="true" hidden="false" outlineLevel="0" max="19" min="19" style="0" width="7"/>
    <col collapsed="false" customWidth="true" hidden="false" outlineLevel="0" max="20" min="20" style="0" width="17"/>
  </cols>
  <sheetData>
    <row r="1" customFormat="false" ht="15" hidden="false" customHeight="false" outlineLevel="0" collapsed="false">
      <c r="B1" s="1" t="s">
        <v>392</v>
      </c>
      <c r="C1" s="4"/>
      <c r="D1" s="4"/>
      <c r="E1" s="4"/>
      <c r="F1" s="4"/>
      <c r="G1" s="4"/>
      <c r="H1" s="4"/>
      <c r="I1" s="4"/>
      <c r="J1" s="4"/>
      <c r="K1" s="4"/>
      <c r="L1" s="4"/>
      <c r="M1" s="4"/>
      <c r="N1" s="4"/>
      <c r="O1" s="4"/>
      <c r="P1" s="4"/>
      <c r="Q1" s="4"/>
      <c r="R1" s="4"/>
      <c r="S1" s="4"/>
      <c r="T1" s="4"/>
    </row>
    <row r="2" customFormat="false" ht="15" hidden="false" customHeight="false" outlineLevel="0" collapsed="false">
      <c r="B2" s="19" t="s">
        <v>393</v>
      </c>
    </row>
    <row r="5" customFormat="false" ht="43.5" hidden="false" customHeight="true" outlineLevel="0" collapsed="false">
      <c r="C5" s="22" t="s">
        <v>394</v>
      </c>
      <c r="D5" s="22" t="s">
        <v>395</v>
      </c>
      <c r="E5" s="22" t="s">
        <v>396</v>
      </c>
      <c r="F5" s="22" t="s">
        <v>397</v>
      </c>
      <c r="G5" s="22" t="s">
        <v>41</v>
      </c>
      <c r="H5" s="22" t="s">
        <v>398</v>
      </c>
      <c r="I5" s="22" t="s">
        <v>399</v>
      </c>
      <c r="J5" s="22" t="s">
        <v>400</v>
      </c>
      <c r="K5" s="22" t="s">
        <v>401</v>
      </c>
      <c r="L5" s="22" t="s">
        <v>402</v>
      </c>
      <c r="M5" s="22" t="s">
        <v>403</v>
      </c>
      <c r="N5" s="22" t="s">
        <v>404</v>
      </c>
      <c r="O5" s="22" t="s">
        <v>405</v>
      </c>
      <c r="P5" s="22" t="s">
        <v>406</v>
      </c>
      <c r="Q5" s="22" t="s">
        <v>407</v>
      </c>
      <c r="R5" s="22" t="s">
        <v>408</v>
      </c>
      <c r="S5" s="22" t="s">
        <v>409</v>
      </c>
      <c r="T5" s="22" t="s">
        <v>165</v>
      </c>
    </row>
    <row r="6" customFormat="false" ht="15" hidden="false" customHeight="false" outlineLevel="0" collapsed="false">
      <c r="C6" s="61" t="str">
        <f aca="false">INDEX(Tape_Property,1)</f>
        <v>Rise Broadway</v>
      </c>
      <c r="D6" s="61" t="str">
        <f aca="false">INDEX(Tape_City,MATCH($C6,Tape_Property,0))&amp;", "&amp;INDEX(Tape_State,MATCH($C6,Tape_Property,0))</f>
        <v>Mesa, AZ</v>
      </c>
      <c r="E6" s="108" t="n">
        <f aca="false">INDEX(Tape_YearBuilt,MATCH($C6,Tape_Property,0))</f>
        <v>1986</v>
      </c>
      <c r="F6" s="95" t="str">
        <f aca="false">INDEX(Tape_YearReno,MATCH($C6,Tape_Property,0))</f>
        <v>2023-2026</v>
      </c>
      <c r="G6" s="57" t="n">
        <f aca="false">INDEX(Tape_Units,MATCH($C6,Tape_Property,0))</f>
        <v>288</v>
      </c>
      <c r="H6" s="62" t="n">
        <f aca="false">INDEX(Tape_Occ,MATCH($C6,Tape_Property,0))</f>
        <v>0.892</v>
      </c>
      <c r="I6" s="57" t="n">
        <f aca="false">INDEX(Tape_GovtUnits,MATCH($C6,Tape_Property,0))</f>
        <v>4</v>
      </c>
      <c r="J6" s="26" t="n">
        <f aca="false">I6/G6</f>
        <v>0.0138888888888889</v>
      </c>
      <c r="K6" s="57" t="n">
        <f aca="false">INDEX(Tape_SF,MATCH($C6,Tape_Property,0))</f>
        <v>673</v>
      </c>
      <c r="L6" s="49" t="n">
        <f aca="false">INDEX(Tape_GPR_UW,MATCH($C6,Tape_Property,0))</f>
        <v>4611682.8</v>
      </c>
      <c r="M6" s="26" t="n">
        <f aca="false">L6/$L$29</f>
        <v>0.0646024207603674</v>
      </c>
      <c r="N6" s="25" t="n">
        <f aca="false">L6/R6/12</f>
        <v>1495.35758754864</v>
      </c>
      <c r="O6" s="109" t="n">
        <f aca="false">N6/K6</f>
        <v>2.22192806470823</v>
      </c>
      <c r="P6" s="49" t="n">
        <f aca="false">INDEX(Tape_ALA,MATCH($C6,Tape_Property,0))</f>
        <v>49100000</v>
      </c>
      <c r="Q6" s="26" t="n">
        <f aca="false">P6/$P$29</f>
        <v>0.0820384294068505</v>
      </c>
      <c r="R6" s="27" t="n">
        <f aca="false">ROUND(G6*H6,0)</f>
        <v>257</v>
      </c>
      <c r="S6" s="95" t="str">
        <f aca="false">INDEX(Tape_State,MATCH($C6,Tape_Property,0))</f>
        <v>AZ</v>
      </c>
      <c r="T6" s="61" t="str">
        <f aca="false">INDEX(Tape_Market,MATCH($C6,Tape_Property,0))</f>
        <v>Phoenix</v>
      </c>
    </row>
    <row r="7" customFormat="false" ht="15" hidden="false" customHeight="false" outlineLevel="0" collapsed="false">
      <c r="C7" s="65" t="str">
        <f aca="false">INDEX(Tape_Property,2)</f>
        <v>Rise Bedford Lake</v>
      </c>
      <c r="D7" s="65" t="str">
        <f aca="false">INDEX(Tape_City,MATCH($C7,Tape_Property,0))&amp;", "&amp;INDEX(Tape_State,MATCH($C7,Tape_Property,0))</f>
        <v>Bedford, TX</v>
      </c>
      <c r="E7" s="110" t="n">
        <f aca="false">INDEX(Tape_YearBuilt,MATCH($C7,Tape_Property,0))</f>
        <v>1982</v>
      </c>
      <c r="F7" s="97" t="str">
        <f aca="false">INDEX(Tape_YearReno,MATCH($C7,Tape_Property,0))</f>
        <v>2023-2026</v>
      </c>
      <c r="G7" s="66" t="n">
        <f aca="false">INDEX(Tape_Units,MATCH($C7,Tape_Property,0))</f>
        <v>360</v>
      </c>
      <c r="H7" s="67" t="n">
        <f aca="false">INDEX(Tape_Occ,MATCH($C7,Tape_Property,0))</f>
        <v>0.936</v>
      </c>
      <c r="I7" s="66" t="n">
        <f aca="false">INDEX(Tape_GovtUnits,MATCH($C7,Tape_Property,0))</f>
        <v>0</v>
      </c>
      <c r="J7" s="34" t="n">
        <f aca="false">I7/G7</f>
        <v>0</v>
      </c>
      <c r="K7" s="66" t="n">
        <f aca="false">INDEX(Tape_SF,MATCH($C7,Tape_Property,0))</f>
        <v>697</v>
      </c>
      <c r="L7" s="51" t="n">
        <f aca="false">INDEX(Tape_GPR_UW,MATCH($C7,Tape_Property,0))</f>
        <v>4880868</v>
      </c>
      <c r="M7" s="34" t="n">
        <f aca="false">L7/$L$29</f>
        <v>0.0683732819203899</v>
      </c>
      <c r="N7" s="32" t="n">
        <f aca="false">L7/R7/12</f>
        <v>1206.94065281899</v>
      </c>
      <c r="O7" s="111" t="n">
        <f aca="false">N7/K7</f>
        <v>1.73162217047201</v>
      </c>
      <c r="P7" s="51" t="n">
        <f aca="false">INDEX(Tape_ALA,MATCH($C7,Tape_Property,0))</f>
        <v>38900000</v>
      </c>
      <c r="Q7" s="34" t="n">
        <f aca="false">P7/$P$29</f>
        <v>0.0649958228905597</v>
      </c>
      <c r="R7" s="36" t="n">
        <f aca="false">ROUND(G7*H7,0)</f>
        <v>337</v>
      </c>
      <c r="S7" s="97" t="str">
        <f aca="false">INDEX(Tape_State,MATCH($C7,Tape_Property,0))</f>
        <v>TX</v>
      </c>
      <c r="T7" s="65" t="str">
        <f aca="false">INDEX(Tape_Market,MATCH($C7,Tape_Property,0))</f>
        <v>Dallas-Fort Worth</v>
      </c>
    </row>
    <row r="8" customFormat="false" ht="15" hidden="false" customHeight="false" outlineLevel="0" collapsed="false">
      <c r="C8" s="61" t="str">
        <f aca="false">INDEX(Tape_Property,3)</f>
        <v>Rise Creekside</v>
      </c>
      <c r="D8" s="61" t="str">
        <f aca="false">INDEX(Tape_City,MATCH($C8,Tape_Property,0))&amp;", "&amp;INDEX(Tape_State,MATCH($C8,Tape_Property,0))</f>
        <v>Northlake, TX</v>
      </c>
      <c r="E8" s="108" t="n">
        <f aca="false">INDEX(Tape_YearBuilt,MATCH($C8,Tape_Property,0))</f>
        <v>2001</v>
      </c>
      <c r="F8" s="95" t="str">
        <f aca="false">INDEX(Tape_YearReno,MATCH($C8,Tape_Property,0))</f>
        <v>2023-2026</v>
      </c>
      <c r="G8" s="57" t="n">
        <f aca="false">INDEX(Tape_Units,MATCH($C8,Tape_Property,0))</f>
        <v>228</v>
      </c>
      <c r="H8" s="62" t="n">
        <f aca="false">INDEX(Tape_Occ,MATCH($C8,Tape_Property,0))</f>
        <v>0.952</v>
      </c>
      <c r="I8" s="57" t="n">
        <f aca="false">INDEX(Tape_GovtUnits,MATCH($C8,Tape_Property,0))</f>
        <v>2</v>
      </c>
      <c r="J8" s="26" t="n">
        <f aca="false">I8/G8</f>
        <v>0.0087719298245614</v>
      </c>
      <c r="K8" s="57" t="n">
        <f aca="false">INDEX(Tape_SF,MATCH($C8,Tape_Property,0))</f>
        <v>868</v>
      </c>
      <c r="L8" s="49" t="n">
        <f aca="false">INDEX(Tape_GPR_UW,MATCH($C8,Tape_Property,0))</f>
        <v>4032251.64</v>
      </c>
      <c r="M8" s="26" t="n">
        <f aca="false">L8/$L$29</f>
        <v>0.0564855017910082</v>
      </c>
      <c r="N8" s="25" t="n">
        <f aca="false">L8/R8/12</f>
        <v>1548.48373271889</v>
      </c>
      <c r="O8" s="109" t="n">
        <f aca="false">N8/K8</f>
        <v>1.78396743400794</v>
      </c>
      <c r="P8" s="49" t="n">
        <f aca="false">INDEX(Tape_ALA,MATCH($C8,Tape_Property,0))</f>
        <v>34100000</v>
      </c>
      <c r="Q8" s="26" t="n">
        <f aca="false">P8/$P$29</f>
        <v>0.0569757727652465</v>
      </c>
      <c r="R8" s="27" t="n">
        <f aca="false">ROUND(G8*H8,0)</f>
        <v>217</v>
      </c>
      <c r="S8" s="95" t="str">
        <f aca="false">INDEX(Tape_State,MATCH($C8,Tape_Property,0))</f>
        <v>TX</v>
      </c>
      <c r="T8" s="61" t="str">
        <f aca="false">INDEX(Tape_Market,MATCH($C8,Tape_Property,0))</f>
        <v>Dallas-Fort Worth</v>
      </c>
    </row>
    <row r="9" customFormat="false" ht="15" hidden="false" customHeight="false" outlineLevel="0" collapsed="false">
      <c r="C9" s="65" t="str">
        <f aca="false">INDEX(Tape_Property,4)</f>
        <v>Rise Bridgeview</v>
      </c>
      <c r="D9" s="65" t="str">
        <f aca="false">INDEX(Tape_City,MATCH($C9,Tape_Property,0))&amp;", "&amp;INDEX(Tape_State,MATCH($C9,Tape_Property,0))</f>
        <v>Greensboro, NC</v>
      </c>
      <c r="E9" s="110" t="n">
        <f aca="false">INDEX(Tape_YearBuilt,MATCH($C9,Tape_Property,0))</f>
        <v>1989</v>
      </c>
      <c r="F9" s="97" t="str">
        <f aca="false">INDEX(Tape_YearReno,MATCH($C9,Tape_Property,0))</f>
        <v>2025-2026</v>
      </c>
      <c r="G9" s="66" t="n">
        <f aca="false">INDEX(Tape_Units,MATCH($C9,Tape_Property,0))</f>
        <v>240</v>
      </c>
      <c r="H9" s="67" t="n">
        <f aca="false">INDEX(Tape_Occ,MATCH($C9,Tape_Property,0))</f>
        <v>0.925</v>
      </c>
      <c r="I9" s="66" t="n">
        <f aca="false">INDEX(Tape_GovtUnits,MATCH($C9,Tape_Property,0))</f>
        <v>0</v>
      </c>
      <c r="J9" s="34" t="n">
        <f aca="false">I9/G9</f>
        <v>0</v>
      </c>
      <c r="K9" s="66" t="n">
        <f aca="false">INDEX(Tape_SF,MATCH($C9,Tape_Property,0))</f>
        <v>1047</v>
      </c>
      <c r="L9" s="51" t="n">
        <f aca="false">INDEX(Tape_GPR_UW,MATCH($C9,Tape_Property,0))</f>
        <v>3559800</v>
      </c>
      <c r="M9" s="34" t="n">
        <f aca="false">L9/$L$29</f>
        <v>0.0498671975927651</v>
      </c>
      <c r="N9" s="32" t="n">
        <f aca="false">L9/R9/12</f>
        <v>1336.26126126126</v>
      </c>
      <c r="O9" s="111" t="n">
        <f aca="false">N9/K9</f>
        <v>1.27627627627628</v>
      </c>
      <c r="P9" s="51" t="n">
        <f aca="false">INDEX(Tape_ALA,MATCH($C9,Tape_Property,0))</f>
        <v>33300000</v>
      </c>
      <c r="Q9" s="34" t="n">
        <f aca="false">P9/$P$29</f>
        <v>0.0556390977443609</v>
      </c>
      <c r="R9" s="36" t="n">
        <f aca="false">ROUND(G9*H9,0)</f>
        <v>222</v>
      </c>
      <c r="S9" s="97" t="str">
        <f aca="false">INDEX(Tape_State,MATCH($C9,Tape_Property,0))</f>
        <v>NC</v>
      </c>
      <c r="T9" s="65" t="str">
        <f aca="false">INDEX(Tape_Market,MATCH($C9,Tape_Property,0))</f>
        <v>Greensboro</v>
      </c>
    </row>
    <row r="10" customFormat="false" ht="15" hidden="false" customHeight="false" outlineLevel="0" collapsed="false">
      <c r="C10" s="61" t="str">
        <f aca="false">INDEX(Tape_Property,5)</f>
        <v>Rise Suncrest</v>
      </c>
      <c r="D10" s="61" t="str">
        <f aca="false">INDEX(Tape_City,MATCH($C10,Tape_Property,0))&amp;", "&amp;INDEX(Tape_State,MATCH($C10,Tape_Property,0))</f>
        <v>Tempe, AZ</v>
      </c>
      <c r="E10" s="108" t="n">
        <f aca="false">INDEX(Tape_YearBuilt,MATCH($C10,Tape_Property,0))</f>
        <v>1988</v>
      </c>
      <c r="F10" s="95" t="str">
        <f aca="false">INDEX(Tape_YearReno,MATCH($C10,Tape_Property,0))</f>
        <v>2022-2026</v>
      </c>
      <c r="G10" s="57" t="n">
        <f aca="false">INDEX(Tape_Units,MATCH($C10,Tape_Property,0))</f>
        <v>160</v>
      </c>
      <c r="H10" s="62" t="n">
        <f aca="false">INDEX(Tape_Occ,MATCH($C10,Tape_Property,0))</f>
        <v>0.944</v>
      </c>
      <c r="I10" s="57" t="n">
        <f aca="false">INDEX(Tape_GovtUnits,MATCH($C10,Tape_Property,0))</f>
        <v>4</v>
      </c>
      <c r="J10" s="26" t="n">
        <f aca="false">I10/G10</f>
        <v>0.025</v>
      </c>
      <c r="K10" s="57" t="n">
        <f aca="false">INDEX(Tape_SF,MATCH($C10,Tape_Property,0))</f>
        <v>825</v>
      </c>
      <c r="L10" s="49" t="n">
        <f aca="false">INDEX(Tape_GPR_UW,MATCH($C10,Tape_Property,0))</f>
        <v>2880360</v>
      </c>
      <c r="M10" s="26" t="n">
        <f aca="false">L10/$L$29</f>
        <v>0.0403493121125616</v>
      </c>
      <c r="N10" s="25" t="n">
        <f aca="false">L10/R10/12</f>
        <v>1589.60264900662</v>
      </c>
      <c r="O10" s="109" t="n">
        <f aca="false">N10/K10</f>
        <v>1.926791089705</v>
      </c>
      <c r="P10" s="49" t="n">
        <f aca="false">INDEX(Tape_ALA,MATCH($C10,Tape_Property,0))</f>
        <v>32600000</v>
      </c>
      <c r="Q10" s="26" t="n">
        <f aca="false">P10/$P$29</f>
        <v>0.0544695071010861</v>
      </c>
      <c r="R10" s="27" t="n">
        <f aca="false">ROUND(G10*H10,0)</f>
        <v>151</v>
      </c>
      <c r="S10" s="95" t="str">
        <f aca="false">INDEX(Tape_State,MATCH($C10,Tape_Property,0))</f>
        <v>AZ</v>
      </c>
      <c r="T10" s="61" t="str">
        <f aca="false">INDEX(Tape_Market,MATCH($C10,Tape_Property,0))</f>
        <v>Phoenix</v>
      </c>
    </row>
    <row r="11" customFormat="false" ht="15" hidden="false" customHeight="false" outlineLevel="0" collapsed="false">
      <c r="C11" s="65" t="str">
        <f aca="false">INDEX(Tape_Property,6)</f>
        <v>Rise Desert Cove</v>
      </c>
      <c r="D11" s="65" t="str">
        <f aca="false">INDEX(Tape_City,MATCH($C11,Tape_Property,0))&amp;", "&amp;INDEX(Tape_State,MATCH($C11,Tape_Property,0))</f>
        <v>Phoenix, AZ</v>
      </c>
      <c r="E11" s="110" t="n">
        <f aca="false">INDEX(Tape_YearBuilt,MATCH($C11,Tape_Property,0))</f>
        <v>1984</v>
      </c>
      <c r="F11" s="97" t="str">
        <f aca="false">INDEX(Tape_YearReno,MATCH($C11,Tape_Property,0))</f>
        <v>2023-2026</v>
      </c>
      <c r="G11" s="66" t="n">
        <f aca="false">INDEX(Tape_Units,MATCH($C11,Tape_Property,0))</f>
        <v>186</v>
      </c>
      <c r="H11" s="67" t="n">
        <f aca="false">INDEX(Tape_Occ,MATCH($C11,Tape_Property,0))</f>
        <v>0.946</v>
      </c>
      <c r="I11" s="66" t="n">
        <f aca="false">INDEX(Tape_GovtUnits,MATCH($C11,Tape_Property,0))</f>
        <v>7</v>
      </c>
      <c r="J11" s="34" t="n">
        <f aca="false">I11/G11</f>
        <v>0.0376344086021505</v>
      </c>
      <c r="K11" s="66" t="n">
        <f aca="false">INDEX(Tape_SF,MATCH($C11,Tape_Property,0))</f>
        <v>830</v>
      </c>
      <c r="L11" s="51" t="n">
        <f aca="false">INDEX(Tape_GPR_UW,MATCH($C11,Tape_Property,0))</f>
        <v>3113095.44</v>
      </c>
      <c r="M11" s="34" t="n">
        <f aca="false">L11/$L$29</f>
        <v>0.0436095694790763</v>
      </c>
      <c r="N11" s="32" t="n">
        <f aca="false">L11/R11/12</f>
        <v>1474.00352272727</v>
      </c>
      <c r="O11" s="111" t="n">
        <f aca="false">N11/K11</f>
        <v>1.77590785870756</v>
      </c>
      <c r="P11" s="51" t="n">
        <f aca="false">INDEX(Tape_ALA,MATCH($C11,Tape_Property,0))</f>
        <v>31900000</v>
      </c>
      <c r="Q11" s="34" t="n">
        <f aca="false">P11/$P$29</f>
        <v>0.0532999164578112</v>
      </c>
      <c r="R11" s="36" t="n">
        <f aca="false">ROUND(G11*H11,0)</f>
        <v>176</v>
      </c>
      <c r="S11" s="97" t="str">
        <f aca="false">INDEX(Tape_State,MATCH($C11,Tape_Property,0))</f>
        <v>AZ</v>
      </c>
      <c r="T11" s="65" t="str">
        <f aca="false">INDEX(Tape_Market,MATCH($C11,Tape_Property,0))</f>
        <v>Phoenix</v>
      </c>
    </row>
    <row r="12" customFormat="false" ht="15" hidden="false" customHeight="false" outlineLevel="0" collapsed="false">
      <c r="C12" s="61" t="str">
        <f aca="false">INDEX(Tape_Property,7)</f>
        <v>Rise Fossil Creek</v>
      </c>
      <c r="D12" s="61" t="str">
        <f aca="false">INDEX(Tape_City,MATCH($C12,Tape_Property,0))&amp;", "&amp;INDEX(Tape_State,MATCH($C12,Tape_Property,0))</f>
        <v>Haltom City, TX</v>
      </c>
      <c r="E12" s="108" t="n">
        <f aca="false">INDEX(Tape_YearBuilt,MATCH($C12,Tape_Property,0))</f>
        <v>1986</v>
      </c>
      <c r="F12" s="95" t="str">
        <f aca="false">INDEX(Tape_YearReno,MATCH($C12,Tape_Property,0))</f>
        <v>2024-2026</v>
      </c>
      <c r="G12" s="57" t="n">
        <f aca="false">INDEX(Tape_Units,MATCH($C12,Tape_Property,0))</f>
        <v>288</v>
      </c>
      <c r="H12" s="62" t="n">
        <f aca="false">INDEX(Tape_Occ,MATCH($C12,Tape_Property,0))</f>
        <v>0.924</v>
      </c>
      <c r="I12" s="57" t="n">
        <f aca="false">INDEX(Tape_GovtUnits,MATCH($C12,Tape_Property,0))</f>
        <v>0</v>
      </c>
      <c r="J12" s="26" t="n">
        <f aca="false">I12/G12</f>
        <v>0</v>
      </c>
      <c r="K12" s="57" t="n">
        <f aca="false">INDEX(Tape_SF,MATCH($C12,Tape_Property,0))</f>
        <v>744</v>
      </c>
      <c r="L12" s="49" t="n">
        <f aca="false">INDEX(Tape_GPR_UW,MATCH($C12,Tape_Property,0))</f>
        <v>4140576</v>
      </c>
      <c r="M12" s="26" t="n">
        <f aca="false">L12/$L$29</f>
        <v>0.058002955654773</v>
      </c>
      <c r="N12" s="25" t="n">
        <f aca="false">L12/R12/12</f>
        <v>1297.17293233083</v>
      </c>
      <c r="O12" s="109" t="n">
        <f aca="false">N12/K12</f>
        <v>1.743512005821</v>
      </c>
      <c r="P12" s="49" t="n">
        <f aca="false">INDEX(Tape_ALA,MATCH($C12,Tape_Property,0))</f>
        <v>31200000</v>
      </c>
      <c r="Q12" s="26" t="n">
        <f aca="false">P12/$P$29</f>
        <v>0.0521303258145363</v>
      </c>
      <c r="R12" s="27" t="n">
        <f aca="false">ROUND(G12*H12,0)</f>
        <v>266</v>
      </c>
      <c r="S12" s="95" t="str">
        <f aca="false">INDEX(Tape_State,MATCH($C12,Tape_Property,0))</f>
        <v>TX</v>
      </c>
      <c r="T12" s="61" t="str">
        <f aca="false">INDEX(Tape_Market,MATCH($C12,Tape_Property,0))</f>
        <v>Dallas-Fort Worth</v>
      </c>
    </row>
    <row r="13" customFormat="false" ht="15" hidden="false" customHeight="false" outlineLevel="0" collapsed="false">
      <c r="C13" s="65" t="str">
        <f aca="false">INDEX(Tape_Property,8)</f>
        <v>Rise Desert West</v>
      </c>
      <c r="D13" s="65" t="str">
        <f aca="false">INDEX(Tape_City,MATCH($C13,Tape_Property,0))&amp;", "&amp;INDEX(Tape_State,MATCH($C13,Tape_Property,0))</f>
        <v>Phoenix, AZ</v>
      </c>
      <c r="E13" s="110" t="n">
        <f aca="false">INDEX(Tape_YearBuilt,MATCH($C13,Tape_Property,0))</f>
        <v>1984</v>
      </c>
      <c r="F13" s="97" t="str">
        <f aca="false">INDEX(Tape_YearReno,MATCH($C13,Tape_Property,0))</f>
        <v>2023-2026</v>
      </c>
      <c r="G13" s="66" t="n">
        <f aca="false">INDEX(Tape_Units,MATCH($C13,Tape_Property,0))</f>
        <v>204</v>
      </c>
      <c r="H13" s="67" t="n">
        <f aca="false">INDEX(Tape_Occ,MATCH($C13,Tape_Property,0))</f>
        <v>0.946</v>
      </c>
      <c r="I13" s="66" t="n">
        <f aca="false">INDEX(Tape_GovtUnits,MATCH($C13,Tape_Property,0))</f>
        <v>2</v>
      </c>
      <c r="J13" s="34" t="n">
        <f aca="false">I13/G13</f>
        <v>0.00980392156862745</v>
      </c>
      <c r="K13" s="66" t="n">
        <f aca="false">INDEX(Tape_SF,MATCH($C13,Tape_Property,0))</f>
        <v>672</v>
      </c>
      <c r="L13" s="51" t="n">
        <f aca="false">INDEX(Tape_GPR_UW,MATCH($C13,Tape_Property,0))</f>
        <v>3058752</v>
      </c>
      <c r="M13" s="34" t="n">
        <f aca="false">L13/$L$29</f>
        <v>0.0428483033797588</v>
      </c>
      <c r="N13" s="32" t="n">
        <f aca="false">L13/R13/12</f>
        <v>1320.70466321244</v>
      </c>
      <c r="O13" s="111" t="n">
        <f aca="false">N13/K13</f>
        <v>1.9653343202566</v>
      </c>
      <c r="P13" s="51" t="n">
        <f aca="false">INDEX(Tape_ALA,MATCH($C13,Tape_Property,0))</f>
        <v>30300000</v>
      </c>
      <c r="Q13" s="34" t="n">
        <f aca="false">P13/$P$29</f>
        <v>0.0506265664160401</v>
      </c>
      <c r="R13" s="36" t="n">
        <f aca="false">ROUND(G13*H13,0)</f>
        <v>193</v>
      </c>
      <c r="S13" s="97" t="str">
        <f aca="false">INDEX(Tape_State,MATCH($C13,Tape_Property,0))</f>
        <v>AZ</v>
      </c>
      <c r="T13" s="65" t="str">
        <f aca="false">INDEX(Tape_Market,MATCH($C13,Tape_Property,0))</f>
        <v>Phoenix</v>
      </c>
    </row>
    <row r="14" customFormat="false" ht="15" hidden="false" customHeight="false" outlineLevel="0" collapsed="false">
      <c r="C14" s="61" t="str">
        <f aca="false">INDEX(Tape_Property,9)</f>
        <v>Rise Lakeside</v>
      </c>
      <c r="D14" s="61" t="str">
        <f aca="false">INDEX(Tape_City,MATCH($C14,Tape_Property,0))&amp;", "&amp;INDEX(Tape_State,MATCH($C14,Tape_Property,0))</f>
        <v>Phoenix, AZ</v>
      </c>
      <c r="E14" s="108" t="n">
        <f aca="false">INDEX(Tape_YearBuilt,MATCH($C14,Tape_Property,0))</f>
        <v>1980</v>
      </c>
      <c r="F14" s="95" t="str">
        <f aca="false">INDEX(Tape_YearReno,MATCH($C14,Tape_Property,0))</f>
        <v>2023-2026</v>
      </c>
      <c r="G14" s="57" t="n">
        <f aca="false">INDEX(Tape_Units,MATCH($C14,Tape_Property,0))</f>
        <v>288</v>
      </c>
      <c r="H14" s="62" t="n">
        <f aca="false">INDEX(Tape_Occ,MATCH($C14,Tape_Property,0))</f>
        <v>0.875</v>
      </c>
      <c r="I14" s="57" t="n">
        <f aca="false">INDEX(Tape_GovtUnits,MATCH($C14,Tape_Property,0))</f>
        <v>2</v>
      </c>
      <c r="J14" s="26" t="n">
        <f aca="false">I14/G14</f>
        <v>0.00694444444444444</v>
      </c>
      <c r="K14" s="57" t="n">
        <f aca="false">INDEX(Tape_SF,MATCH($C14,Tape_Property,0))</f>
        <v>656</v>
      </c>
      <c r="L14" s="49" t="n">
        <f aca="false">INDEX(Tape_GPR_UW,MATCH($C14,Tape_Property,0))</f>
        <v>4036140</v>
      </c>
      <c r="M14" s="26" t="n">
        <f aca="false">L14/$L$29</f>
        <v>0.0565399715972984</v>
      </c>
      <c r="N14" s="25" t="n">
        <f aca="false">L14/R14/12</f>
        <v>1334.70238095238</v>
      </c>
      <c r="O14" s="109" t="n">
        <f aca="false">N14/K14</f>
        <v>2.03460728803717</v>
      </c>
      <c r="P14" s="49" t="n">
        <f aca="false">INDEX(Tape_ALA,MATCH($C14,Tape_Property,0))</f>
        <v>30000000</v>
      </c>
      <c r="Q14" s="26" t="n">
        <f aca="false">P14/$P$29</f>
        <v>0.050125313283208</v>
      </c>
      <c r="R14" s="27" t="n">
        <f aca="false">ROUND(G14*H14,0)</f>
        <v>252</v>
      </c>
      <c r="S14" s="95" t="str">
        <f aca="false">INDEX(Tape_State,MATCH($C14,Tape_Property,0))</f>
        <v>AZ</v>
      </c>
      <c r="T14" s="61" t="str">
        <f aca="false">INDEX(Tape_Market,MATCH($C14,Tape_Property,0))</f>
        <v>Phoenix</v>
      </c>
    </row>
    <row r="15" customFormat="false" ht="15" hidden="false" customHeight="false" outlineLevel="0" collapsed="false">
      <c r="C15" s="65" t="str">
        <f aca="false">INDEX(Tape_Property,10)</f>
        <v>Rise Spring Pointe</v>
      </c>
      <c r="D15" s="65" t="str">
        <f aca="false">INDEX(Tape_City,MATCH($C15,Tape_Property,0))&amp;", "&amp;INDEX(Tape_State,MATCH($C15,Tape_Property,0))</f>
        <v>Fort Worth, TX</v>
      </c>
      <c r="E15" s="110" t="n">
        <f aca="false">INDEX(Tape_YearBuilt,MATCH($C15,Tape_Property,0))</f>
        <v>1984</v>
      </c>
      <c r="F15" s="97" t="str">
        <f aca="false">INDEX(Tape_YearReno,MATCH($C15,Tape_Property,0))</f>
        <v>2024-2026</v>
      </c>
      <c r="G15" s="66" t="n">
        <f aca="false">INDEX(Tape_Units,MATCH($C15,Tape_Property,0))</f>
        <v>323</v>
      </c>
      <c r="H15" s="67" t="n">
        <f aca="false">INDEX(Tape_Occ,MATCH($C15,Tape_Property,0))</f>
        <v>0.861</v>
      </c>
      <c r="I15" s="66" t="n">
        <f aca="false">INDEX(Tape_GovtUnits,MATCH($C15,Tape_Property,0))</f>
        <v>4</v>
      </c>
      <c r="J15" s="34" t="n">
        <f aca="false">I15/G15</f>
        <v>0.0123839009287926</v>
      </c>
      <c r="K15" s="66" t="n">
        <f aca="false">INDEX(Tape_SF,MATCH($C15,Tape_Property,0))</f>
        <v>721</v>
      </c>
      <c r="L15" s="51" t="n">
        <f aca="false">INDEX(Tape_GPR_UW,MATCH($C15,Tape_Property,0))</f>
        <v>3757571.28</v>
      </c>
      <c r="M15" s="34" t="n">
        <f aca="false">L15/$L$29</f>
        <v>0.0526376620845719</v>
      </c>
      <c r="N15" s="32" t="n">
        <f aca="false">L15/R15/12</f>
        <v>1126.37028776978</v>
      </c>
      <c r="O15" s="111" t="n">
        <f aca="false">N15/K15</f>
        <v>1.56223340883465</v>
      </c>
      <c r="P15" s="51" t="n">
        <f aca="false">INDEX(Tape_ALA,MATCH($C15,Tape_Property,0))</f>
        <v>26200000</v>
      </c>
      <c r="Q15" s="34" t="n">
        <f aca="false">P15/$P$29</f>
        <v>0.0437761069340017</v>
      </c>
      <c r="R15" s="36" t="n">
        <f aca="false">ROUND(G15*H15,0)</f>
        <v>278</v>
      </c>
      <c r="S15" s="97" t="str">
        <f aca="false">INDEX(Tape_State,MATCH($C15,Tape_Property,0))</f>
        <v>TX</v>
      </c>
      <c r="T15" s="65" t="str">
        <f aca="false">INDEX(Tape_Market,MATCH($C15,Tape_Property,0))</f>
        <v>Dallas-Fort Worth</v>
      </c>
    </row>
    <row r="16" customFormat="false" ht="15" hidden="false" customHeight="false" outlineLevel="0" collapsed="false">
      <c r="C16" s="61" t="str">
        <f aca="false">INDEX(Tape_Property,11)</f>
        <v>Rise Skyline</v>
      </c>
      <c r="D16" s="61" t="str">
        <f aca="false">INDEX(Tape_City,MATCH($C16,Tape_Property,0))&amp;", "&amp;INDEX(Tape_State,MATCH($C16,Tape_Property,0))</f>
        <v>Mesquite, TX</v>
      </c>
      <c r="E16" s="108" t="n">
        <f aca="false">INDEX(Tape_YearBuilt,MATCH($C16,Tape_Property,0))</f>
        <v>1997</v>
      </c>
      <c r="F16" s="95" t="str">
        <f aca="false">INDEX(Tape_YearReno,MATCH($C16,Tape_Property,0))</f>
        <v>2023-2026</v>
      </c>
      <c r="G16" s="57" t="n">
        <f aca="false">INDEX(Tape_Units,MATCH($C16,Tape_Property,0))</f>
        <v>200</v>
      </c>
      <c r="H16" s="62" t="n">
        <f aca="false">INDEX(Tape_Occ,MATCH($C16,Tape_Property,0))</f>
        <v>0.95</v>
      </c>
      <c r="I16" s="57" t="n">
        <f aca="false">INDEX(Tape_GovtUnits,MATCH($C16,Tape_Property,0))</f>
        <v>0</v>
      </c>
      <c r="J16" s="26" t="n">
        <f aca="false">I16/G16</f>
        <v>0</v>
      </c>
      <c r="K16" s="57" t="n">
        <f aca="false">INDEX(Tape_SF,MATCH($C16,Tape_Property,0))</f>
        <v>879</v>
      </c>
      <c r="L16" s="49" t="n">
        <f aca="false">INDEX(Tape_GPR_UW,MATCH($C16,Tape_Property,0))</f>
        <v>3256296</v>
      </c>
      <c r="M16" s="26" t="n">
        <f aca="false">L16/$L$29</f>
        <v>0.0456155840363308</v>
      </c>
      <c r="N16" s="25" t="n">
        <f aca="false">L16/R16/12</f>
        <v>1428.2</v>
      </c>
      <c r="O16" s="109" t="n">
        <f aca="false">N16/K16</f>
        <v>1.62480091012514</v>
      </c>
      <c r="P16" s="49" t="n">
        <f aca="false">INDEX(Tape_ALA,MATCH($C16,Tape_Property,0))</f>
        <v>25000000</v>
      </c>
      <c r="Q16" s="26" t="n">
        <f aca="false">P16/$P$29</f>
        <v>0.0417710944026734</v>
      </c>
      <c r="R16" s="27" t="n">
        <f aca="false">ROUND(G16*H16,0)</f>
        <v>190</v>
      </c>
      <c r="S16" s="95" t="str">
        <f aca="false">INDEX(Tape_State,MATCH($C16,Tape_Property,0))</f>
        <v>TX</v>
      </c>
      <c r="T16" s="61" t="str">
        <f aca="false">INDEX(Tape_Market,MATCH($C16,Tape_Property,0))</f>
        <v>Dallas-Fort Worth</v>
      </c>
    </row>
    <row r="17" customFormat="false" ht="15" hidden="false" customHeight="false" outlineLevel="0" collapsed="false">
      <c r="C17" s="65" t="str">
        <f aca="false">INDEX(Tape_Property,12)</f>
        <v>Rise Hillcrest</v>
      </c>
      <c r="D17" s="65" t="str">
        <f aca="false">INDEX(Tape_City,MATCH($C17,Tape_Property,0))&amp;", "&amp;INDEX(Tape_State,MATCH($C17,Tape_Property,0))</f>
        <v>Garland, TX</v>
      </c>
      <c r="E17" s="110" t="n">
        <f aca="false">INDEX(Tape_YearBuilt,MATCH($C17,Tape_Property,0))</f>
        <v>1983</v>
      </c>
      <c r="F17" s="97" t="str">
        <f aca="false">INDEX(Tape_YearReno,MATCH($C17,Tape_Property,0))</f>
        <v>2024-2026</v>
      </c>
      <c r="G17" s="66" t="n">
        <f aca="false">INDEX(Tape_Units,MATCH($C17,Tape_Property,0))</f>
        <v>224</v>
      </c>
      <c r="H17" s="67" t="n">
        <f aca="false">INDEX(Tape_Occ,MATCH($C17,Tape_Property,0))</f>
        <v>0.879</v>
      </c>
      <c r="I17" s="66" t="n">
        <f aca="false">INDEX(Tape_GovtUnits,MATCH($C17,Tape_Property,0))</f>
        <v>42</v>
      </c>
      <c r="J17" s="34" t="n">
        <f aca="false">I17/G17</f>
        <v>0.1875</v>
      </c>
      <c r="K17" s="66" t="n">
        <f aca="false">INDEX(Tape_SF,MATCH($C17,Tape_Property,0))</f>
        <v>812</v>
      </c>
      <c r="L17" s="51" t="n">
        <f aca="false">INDEX(Tape_GPR_UW,MATCH($C17,Tape_Property,0))</f>
        <v>3215340</v>
      </c>
      <c r="M17" s="34" t="n">
        <f aca="false">L17/$L$29</f>
        <v>0.0450418549098043</v>
      </c>
      <c r="N17" s="32" t="n">
        <f aca="false">L17/R17/12</f>
        <v>1360.1269035533</v>
      </c>
      <c r="O17" s="111" t="n">
        <f aca="false">N17/K17</f>
        <v>1.6750331324548</v>
      </c>
      <c r="P17" s="51" t="n">
        <f aca="false">INDEX(Tape_ALA,MATCH($C17,Tape_Property,0))</f>
        <v>23100000</v>
      </c>
      <c r="Q17" s="34" t="n">
        <f aca="false">P17/$P$29</f>
        <v>0.0385964912280702</v>
      </c>
      <c r="R17" s="36" t="n">
        <f aca="false">ROUND(G17*H17,0)</f>
        <v>197</v>
      </c>
      <c r="S17" s="97" t="str">
        <f aca="false">INDEX(Tape_State,MATCH($C17,Tape_Property,0))</f>
        <v>TX</v>
      </c>
      <c r="T17" s="65" t="str">
        <f aca="false">INDEX(Tape_Market,MATCH($C17,Tape_Property,0))</f>
        <v>Dallas-Fort Worth</v>
      </c>
    </row>
    <row r="18" customFormat="false" ht="15" hidden="false" customHeight="false" outlineLevel="0" collapsed="false">
      <c r="C18" s="61" t="str">
        <f aca="false">INDEX(Tape_Property,13)</f>
        <v>Rise on Cave Creek</v>
      </c>
      <c r="D18" s="61" t="str">
        <f aca="false">INDEX(Tape_City,MATCH($C18,Tape_Property,0))&amp;", "&amp;INDEX(Tape_State,MATCH($C18,Tape_Property,0))</f>
        <v>Phoenix, AZ</v>
      </c>
      <c r="E18" s="108" t="n">
        <f aca="false">INDEX(Tape_YearBuilt,MATCH($C18,Tape_Property,0))</f>
        <v>1985</v>
      </c>
      <c r="F18" s="95" t="str">
        <f aca="false">INDEX(Tape_YearReno,MATCH($C18,Tape_Property,0))</f>
        <v>2023-2026</v>
      </c>
      <c r="G18" s="57" t="n">
        <f aca="false">INDEX(Tape_Units,MATCH($C18,Tape_Property,0))</f>
        <v>141</v>
      </c>
      <c r="H18" s="62" t="n">
        <f aca="false">INDEX(Tape_Occ,MATCH($C18,Tape_Property,0))</f>
        <v>0.879</v>
      </c>
      <c r="I18" s="57" t="n">
        <f aca="false">INDEX(Tape_GovtUnits,MATCH($C18,Tape_Property,0))</f>
        <v>1</v>
      </c>
      <c r="J18" s="26" t="n">
        <f aca="false">I18/G18</f>
        <v>0.00709219858156028</v>
      </c>
      <c r="K18" s="57" t="n">
        <f aca="false">INDEX(Tape_SF,MATCH($C18,Tape_Property,0))</f>
        <v>776</v>
      </c>
      <c r="L18" s="49" t="n">
        <f aca="false">INDEX(Tape_GPR_UW,MATCH($C18,Tape_Property,0))</f>
        <v>2210400</v>
      </c>
      <c r="M18" s="26" t="n">
        <f aca="false">L18/$L$29</f>
        <v>0.0309642265180763</v>
      </c>
      <c r="N18" s="25" t="n">
        <f aca="false">L18/R18/12</f>
        <v>1485.48387096774</v>
      </c>
      <c r="O18" s="109" t="n">
        <f aca="false">N18/K18</f>
        <v>1.91428333887596</v>
      </c>
      <c r="P18" s="49" t="n">
        <f aca="false">INDEX(Tape_ALA,MATCH($C18,Tape_Property,0))</f>
        <v>22800000</v>
      </c>
      <c r="Q18" s="26" t="n">
        <f aca="false">P18/$P$29</f>
        <v>0.0380952380952381</v>
      </c>
      <c r="R18" s="27" t="n">
        <f aca="false">ROUND(G18*H18,0)</f>
        <v>124</v>
      </c>
      <c r="S18" s="95" t="str">
        <f aca="false">INDEX(Tape_State,MATCH($C18,Tape_Property,0))</f>
        <v>AZ</v>
      </c>
      <c r="T18" s="61" t="str">
        <f aca="false">INDEX(Tape_Market,MATCH($C18,Tape_Property,0))</f>
        <v>Phoenix</v>
      </c>
    </row>
    <row r="19" customFormat="false" ht="15" hidden="false" customHeight="false" outlineLevel="0" collapsed="false">
      <c r="C19" s="65" t="str">
        <f aca="false">INDEX(Tape_Property,14)</f>
        <v>Rise West Arlington</v>
      </c>
      <c r="D19" s="65" t="str">
        <f aca="false">INDEX(Tape_City,MATCH($C19,Tape_Property,0))&amp;", "&amp;INDEX(Tape_State,MATCH($C19,Tape_Property,0))</f>
        <v>Arlington, TX</v>
      </c>
      <c r="E19" s="110" t="n">
        <f aca="false">INDEX(Tape_YearBuilt,MATCH($C19,Tape_Property,0))</f>
        <v>1985</v>
      </c>
      <c r="F19" s="97" t="str">
        <f aca="false">INDEX(Tape_YearReno,MATCH($C19,Tape_Property,0))</f>
        <v>2024-2026</v>
      </c>
      <c r="G19" s="66" t="n">
        <f aca="false">INDEX(Tape_Units,MATCH($C19,Tape_Property,0))</f>
        <v>220</v>
      </c>
      <c r="H19" s="67" t="n">
        <f aca="false">INDEX(Tape_Occ,MATCH($C19,Tape_Property,0))</f>
        <v>0.932</v>
      </c>
      <c r="I19" s="66" t="n">
        <f aca="false">INDEX(Tape_GovtUnits,MATCH($C19,Tape_Property,0))</f>
        <v>4</v>
      </c>
      <c r="J19" s="34" t="n">
        <f aca="false">I19/G19</f>
        <v>0.0181818181818182</v>
      </c>
      <c r="K19" s="66" t="n">
        <f aca="false">INDEX(Tape_SF,MATCH($C19,Tape_Property,0))</f>
        <v>753</v>
      </c>
      <c r="L19" s="51" t="n">
        <f aca="false">INDEX(Tape_GPR_UW,MATCH($C19,Tape_Property,0))</f>
        <v>3263832</v>
      </c>
      <c r="M19" s="34" t="n">
        <f aca="false">L19/$L$29</f>
        <v>0.0457211515404207</v>
      </c>
      <c r="N19" s="32" t="n">
        <f aca="false">L19/R19/12</f>
        <v>1326.76097560976</v>
      </c>
      <c r="O19" s="111" t="n">
        <f aca="false">N19/K19</f>
        <v>1.76196676707803</v>
      </c>
      <c r="P19" s="51" t="n">
        <f aca="false">INDEX(Tape_ALA,MATCH($C19,Tape_Property,0))</f>
        <v>22000000</v>
      </c>
      <c r="Q19" s="34" t="n">
        <f aca="false">P19/$P$29</f>
        <v>0.0367585630743525</v>
      </c>
      <c r="R19" s="36" t="n">
        <f aca="false">ROUND(G19*H19,0)</f>
        <v>205</v>
      </c>
      <c r="S19" s="97" t="str">
        <f aca="false">INDEX(Tape_State,MATCH($C19,Tape_Property,0))</f>
        <v>TX</v>
      </c>
      <c r="T19" s="65" t="str">
        <f aca="false">INDEX(Tape_Market,MATCH($C19,Tape_Property,0))</f>
        <v>Dallas-Fort Worth</v>
      </c>
    </row>
    <row r="20" customFormat="false" ht="15" hidden="false" customHeight="false" outlineLevel="0" collapsed="false">
      <c r="C20" s="61" t="str">
        <f aca="false">INDEX(Tape_Property,15)</f>
        <v>Rise Heather Ridge</v>
      </c>
      <c r="D20" s="61" t="str">
        <f aca="false">INDEX(Tape_City,MATCH($C20,Tape_Property,0))&amp;", "&amp;INDEX(Tape_State,MATCH($C20,Tape_Property,0))</f>
        <v>Arlington, TX</v>
      </c>
      <c r="E20" s="108" t="n">
        <f aca="false">INDEX(Tape_YearBuilt,MATCH($C20,Tape_Property,0))</f>
        <v>1983</v>
      </c>
      <c r="F20" s="95" t="str">
        <f aca="false">INDEX(Tape_YearReno,MATCH($C20,Tape_Property,0))</f>
        <v>2023-2026</v>
      </c>
      <c r="G20" s="57" t="n">
        <f aca="false">INDEX(Tape_Units,MATCH($C20,Tape_Property,0))</f>
        <v>252</v>
      </c>
      <c r="H20" s="62" t="n">
        <f aca="false">INDEX(Tape_Occ,MATCH($C20,Tape_Property,0))</f>
        <v>0.913</v>
      </c>
      <c r="I20" s="57" t="n">
        <f aca="false">INDEX(Tape_GovtUnits,MATCH($C20,Tape_Property,0))</f>
        <v>0</v>
      </c>
      <c r="J20" s="26" t="n">
        <f aca="false">I20/G20</f>
        <v>0</v>
      </c>
      <c r="K20" s="57" t="n">
        <f aca="false">INDEX(Tape_SF,MATCH($C20,Tape_Property,0))</f>
        <v>735</v>
      </c>
      <c r="L20" s="49" t="n">
        <f aca="false">INDEX(Tape_GPR_UW,MATCH($C20,Tape_Property,0))</f>
        <v>3215388</v>
      </c>
      <c r="M20" s="26" t="n">
        <f aca="false">L20/$L$29</f>
        <v>0.0450425273142889</v>
      </c>
      <c r="N20" s="25" t="n">
        <f aca="false">L20/R20/12</f>
        <v>1164.99565217391</v>
      </c>
      <c r="O20" s="109" t="n">
        <f aca="false">N20/K20</f>
        <v>1.5850280981958</v>
      </c>
      <c r="P20" s="49" t="n">
        <f aca="false">INDEX(Tape_ALA,MATCH($C20,Tape_Property,0))</f>
        <v>22000000</v>
      </c>
      <c r="Q20" s="26" t="n">
        <f aca="false">P20/$P$29</f>
        <v>0.0367585630743525</v>
      </c>
      <c r="R20" s="27" t="n">
        <f aca="false">ROUND(G20*H20,0)</f>
        <v>230</v>
      </c>
      <c r="S20" s="95" t="str">
        <f aca="false">INDEX(Tape_State,MATCH($C20,Tape_Property,0))</f>
        <v>TX</v>
      </c>
      <c r="T20" s="61" t="str">
        <f aca="false">INDEX(Tape_Market,MATCH($C20,Tape_Property,0))</f>
        <v>Dallas-Fort Worth</v>
      </c>
    </row>
    <row r="21" customFormat="false" ht="15" hidden="false" customHeight="false" outlineLevel="0" collapsed="false">
      <c r="C21" s="65" t="str">
        <f aca="false">INDEX(Tape_Property,16)</f>
        <v>Rise on Cactus</v>
      </c>
      <c r="D21" s="65" t="str">
        <f aca="false">INDEX(Tape_City,MATCH($C21,Tape_Property,0))&amp;", "&amp;INDEX(Tape_State,MATCH($C21,Tape_Property,0))</f>
        <v>Phoenix, AZ</v>
      </c>
      <c r="E21" s="110" t="n">
        <f aca="false">INDEX(Tape_YearBuilt,MATCH($C21,Tape_Property,0))</f>
        <v>1984</v>
      </c>
      <c r="F21" s="97" t="str">
        <f aca="false">INDEX(Tape_YearReno,MATCH($C21,Tape_Property,0))</f>
        <v>2023-2026</v>
      </c>
      <c r="G21" s="66" t="n">
        <f aca="false">INDEX(Tape_Units,MATCH($C21,Tape_Property,0))</f>
        <v>124</v>
      </c>
      <c r="H21" s="67" t="n">
        <f aca="false">INDEX(Tape_Occ,MATCH($C21,Tape_Property,0))</f>
        <v>0.944</v>
      </c>
      <c r="I21" s="66" t="n">
        <f aca="false">INDEX(Tape_GovtUnits,MATCH($C21,Tape_Property,0))</f>
        <v>3</v>
      </c>
      <c r="J21" s="34" t="n">
        <f aca="false">I21/G21</f>
        <v>0.0241935483870968</v>
      </c>
      <c r="K21" s="66" t="n">
        <f aca="false">INDEX(Tape_SF,MATCH($C21,Tape_Property,0))</f>
        <v>752</v>
      </c>
      <c r="L21" s="51" t="n">
        <f aca="false">INDEX(Tape_GPR_UW,MATCH($C21,Tape_Property,0))</f>
        <v>2105400</v>
      </c>
      <c r="M21" s="34" t="n">
        <f aca="false">L21/$L$29</f>
        <v>0.0294933417079071</v>
      </c>
      <c r="N21" s="32" t="n">
        <f aca="false">L21/R21/12</f>
        <v>1499.57264957265</v>
      </c>
      <c r="O21" s="111" t="n">
        <f aca="false">N21/K21</f>
        <v>1.99411256592108</v>
      </c>
      <c r="P21" s="51" t="n">
        <f aca="false">INDEX(Tape_ALA,MATCH($C21,Tape_Property,0))</f>
        <v>20500000</v>
      </c>
      <c r="Q21" s="34" t="n">
        <f aca="false">P21/$P$29</f>
        <v>0.0342522974101921</v>
      </c>
      <c r="R21" s="36" t="n">
        <f aca="false">ROUND(G21*H21,0)</f>
        <v>117</v>
      </c>
      <c r="S21" s="97" t="str">
        <f aca="false">INDEX(Tape_State,MATCH($C21,Tape_Property,0))</f>
        <v>AZ</v>
      </c>
      <c r="T21" s="65" t="str">
        <f aca="false">INDEX(Tape_Market,MATCH($C21,Tape_Property,0))</f>
        <v>Phoenix</v>
      </c>
    </row>
    <row r="22" customFormat="false" ht="15" hidden="false" customHeight="false" outlineLevel="0" collapsed="false">
      <c r="C22" s="61" t="str">
        <f aca="false">INDEX(Tape_Property,17)</f>
        <v>Rise on McClintock</v>
      </c>
      <c r="D22" s="61" t="str">
        <f aca="false">INDEX(Tape_City,MATCH($C22,Tape_Property,0))&amp;", "&amp;INDEX(Tape_State,MATCH($C22,Tape_Property,0))</f>
        <v>Tempe, AZ</v>
      </c>
      <c r="E22" s="108" t="n">
        <f aca="false">INDEX(Tape_YearBuilt,MATCH($C22,Tape_Property,0))</f>
        <v>1980</v>
      </c>
      <c r="F22" s="95" t="str">
        <f aca="false">INDEX(Tape_YearReno,MATCH($C22,Tape_Property,0))</f>
        <v>2023-2026</v>
      </c>
      <c r="G22" s="57" t="n">
        <f aca="false">INDEX(Tape_Units,MATCH($C22,Tape_Property,0))</f>
        <v>112</v>
      </c>
      <c r="H22" s="62" t="n">
        <f aca="false">INDEX(Tape_Occ,MATCH($C22,Tape_Property,0))</f>
        <v>0.92</v>
      </c>
      <c r="I22" s="57" t="n">
        <f aca="false">INDEX(Tape_GovtUnits,MATCH($C22,Tape_Property,0))</f>
        <v>1</v>
      </c>
      <c r="J22" s="26" t="n">
        <f aca="false">I22/G22</f>
        <v>0.00892857142857143</v>
      </c>
      <c r="K22" s="57" t="n">
        <f aca="false">INDEX(Tape_SF,MATCH($C22,Tape_Property,0))</f>
        <v>808</v>
      </c>
      <c r="L22" s="49" t="n">
        <f aca="false">INDEX(Tape_GPR_UW,MATCH($C22,Tape_Property,0))</f>
        <v>1840560</v>
      </c>
      <c r="M22" s="26" t="n">
        <f aca="false">L22/$L$29</f>
        <v>0.0257833499638574</v>
      </c>
      <c r="N22" s="25" t="n">
        <f aca="false">L22/R22/12</f>
        <v>1489.12621359223</v>
      </c>
      <c r="O22" s="109" t="n">
        <f aca="false">N22/K22</f>
        <v>1.8429779871191</v>
      </c>
      <c r="P22" s="49" t="n">
        <f aca="false">INDEX(Tape_ALA,MATCH($C22,Tape_Property,0))</f>
        <v>20400000</v>
      </c>
      <c r="Q22" s="26" t="n">
        <f aca="false">P22/$P$29</f>
        <v>0.0340852130325815</v>
      </c>
      <c r="R22" s="27" t="n">
        <f aca="false">ROUND(G22*H22,0)</f>
        <v>103</v>
      </c>
      <c r="S22" s="95" t="str">
        <f aca="false">INDEX(Tape_State,MATCH($C22,Tape_Property,0))</f>
        <v>AZ</v>
      </c>
      <c r="T22" s="61" t="str">
        <f aca="false">INDEX(Tape_Market,MATCH($C22,Tape_Property,0))</f>
        <v>Phoenix</v>
      </c>
    </row>
    <row r="23" customFormat="false" ht="15" hidden="false" customHeight="false" outlineLevel="0" collapsed="false">
      <c r="C23" s="65" t="str">
        <f aca="false">INDEX(Tape_Property,18)</f>
        <v>Rise at Town East</v>
      </c>
      <c r="D23" s="65" t="str">
        <f aca="false">INDEX(Tape_City,MATCH($C23,Tape_Property,0))&amp;", "&amp;INDEX(Tape_State,MATCH($C23,Tape_Property,0))</f>
        <v>Mesquite, TX</v>
      </c>
      <c r="E23" s="110" t="n">
        <f aca="false">INDEX(Tape_YearBuilt,MATCH($C23,Tape_Property,0))</f>
        <v>1983</v>
      </c>
      <c r="F23" s="97" t="str">
        <f aca="false">INDEX(Tape_YearReno,MATCH($C23,Tape_Property,0))</f>
        <v>2024-2026</v>
      </c>
      <c r="G23" s="66" t="n">
        <f aca="false">INDEX(Tape_Units,MATCH($C23,Tape_Property,0))</f>
        <v>210</v>
      </c>
      <c r="H23" s="67" t="n">
        <f aca="false">INDEX(Tape_Occ,MATCH($C23,Tape_Property,0))</f>
        <v>0.957</v>
      </c>
      <c r="I23" s="66" t="n">
        <f aca="false">INDEX(Tape_GovtUnits,MATCH($C23,Tape_Property,0))</f>
        <v>8</v>
      </c>
      <c r="J23" s="34" t="n">
        <f aca="false">I23/G23</f>
        <v>0.0380952380952381</v>
      </c>
      <c r="K23" s="66" t="n">
        <f aca="false">INDEX(Tape_SF,MATCH($C23,Tape_Property,0))</f>
        <v>739</v>
      </c>
      <c r="L23" s="51" t="n">
        <f aca="false">INDEX(Tape_GPR_UW,MATCH($C23,Tape_Property,0))</f>
        <v>2848894.56</v>
      </c>
      <c r="M23" s="34" t="n">
        <f aca="false">L23/$L$29</f>
        <v>0.0399085308007398</v>
      </c>
      <c r="N23" s="32" t="n">
        <f aca="false">L23/R23/12</f>
        <v>1181.13373134328</v>
      </c>
      <c r="O23" s="111" t="n">
        <f aca="false">N23/K23</f>
        <v>1.59828651061337</v>
      </c>
      <c r="P23" s="51" t="n">
        <f aca="false">INDEX(Tape_ALA,MATCH($C23,Tape_Property,0))</f>
        <v>19000000</v>
      </c>
      <c r="Q23" s="34" t="n">
        <f aca="false">P23/$P$29</f>
        <v>0.0317460317460317</v>
      </c>
      <c r="R23" s="36" t="n">
        <f aca="false">ROUND(G23*H23,0)</f>
        <v>201</v>
      </c>
      <c r="S23" s="97" t="str">
        <f aca="false">INDEX(Tape_State,MATCH($C23,Tape_Property,0))</f>
        <v>TX</v>
      </c>
      <c r="T23" s="65" t="str">
        <f aca="false">INDEX(Tape_Market,MATCH($C23,Tape_Property,0))</f>
        <v>Dallas-Fort Worth</v>
      </c>
    </row>
    <row r="24" customFormat="false" ht="15" hidden="false" customHeight="false" outlineLevel="0" collapsed="false">
      <c r="C24" s="61" t="str">
        <f aca="false">INDEX(Tape_Property,19)</f>
        <v>Rise at the Meadows</v>
      </c>
      <c r="D24" s="61" t="str">
        <f aca="false">INDEX(Tape_City,MATCH($C24,Tape_Property,0))&amp;", "&amp;INDEX(Tape_State,MATCH($C24,Tape_Property,0))</f>
        <v>Glendale, AZ</v>
      </c>
      <c r="E24" s="108" t="n">
        <f aca="false">INDEX(Tape_YearBuilt,MATCH($C24,Tape_Property,0))</f>
        <v>1983</v>
      </c>
      <c r="F24" s="95" t="str">
        <f aca="false">INDEX(Tape_YearReno,MATCH($C24,Tape_Property,0))</f>
        <v>2023-2026</v>
      </c>
      <c r="G24" s="57" t="n">
        <f aca="false">INDEX(Tape_Units,MATCH($C24,Tape_Property,0))</f>
        <v>120</v>
      </c>
      <c r="H24" s="62" t="n">
        <f aca="false">INDEX(Tape_Occ,MATCH($C24,Tape_Property,0))</f>
        <v>0.908</v>
      </c>
      <c r="I24" s="57" t="n">
        <f aca="false">INDEX(Tape_GovtUnits,MATCH($C24,Tape_Property,0))</f>
        <v>8</v>
      </c>
      <c r="J24" s="26" t="n">
        <f aca="false">I24/G24</f>
        <v>0.0666666666666667</v>
      </c>
      <c r="K24" s="57" t="n">
        <f aca="false">INDEX(Tape_SF,MATCH($C24,Tape_Property,0))</f>
        <v>741</v>
      </c>
      <c r="L24" s="49" t="n">
        <f aca="false">INDEX(Tape_GPR_UW,MATCH($C24,Tape_Property,0))</f>
        <v>1881540</v>
      </c>
      <c r="M24" s="26" t="n">
        <f aca="false">L24/$L$29</f>
        <v>0.0263574152926263</v>
      </c>
      <c r="N24" s="25" t="n">
        <f aca="false">L24/R24/12</f>
        <v>1438.48623853211</v>
      </c>
      <c r="O24" s="109" t="n">
        <f aca="false">N24/K24</f>
        <v>1.94127697507707</v>
      </c>
      <c r="P24" s="49" t="n">
        <f aca="false">INDEX(Tape_ALA,MATCH($C24,Tape_Property,0))</f>
        <v>18900000</v>
      </c>
      <c r="Q24" s="26" t="n">
        <f aca="false">P24/$P$29</f>
        <v>0.0315789473684211</v>
      </c>
      <c r="R24" s="27" t="n">
        <f aca="false">ROUND(G24*H24,0)</f>
        <v>109</v>
      </c>
      <c r="S24" s="95" t="str">
        <f aca="false">INDEX(Tape_State,MATCH($C24,Tape_Property,0))</f>
        <v>AZ</v>
      </c>
      <c r="T24" s="61" t="str">
        <f aca="false">INDEX(Tape_Market,MATCH($C24,Tape_Property,0))</f>
        <v>Phoenix</v>
      </c>
    </row>
    <row r="25" customFormat="false" ht="15" hidden="false" customHeight="false" outlineLevel="0" collapsed="false">
      <c r="C25" s="65" t="str">
        <f aca="false">INDEX(Tape_Property,20)</f>
        <v>Rise Oak Creek</v>
      </c>
      <c r="D25" s="65" t="str">
        <f aca="false">INDEX(Tape_City,MATCH($C25,Tape_Property,0))&amp;", "&amp;INDEX(Tape_State,MATCH($C25,Tape_Property,0))</f>
        <v>Bedford, TX</v>
      </c>
      <c r="E25" s="110" t="n">
        <f aca="false">INDEX(Tape_YearBuilt,MATCH($C25,Tape_Property,0))</f>
        <v>1983</v>
      </c>
      <c r="F25" s="97" t="str">
        <f aca="false">INDEX(Tape_YearReno,MATCH($C25,Tape_Property,0))</f>
        <v>2023-2026</v>
      </c>
      <c r="G25" s="66" t="n">
        <f aca="false">INDEX(Tape_Units,MATCH($C25,Tape_Property,0))</f>
        <v>176</v>
      </c>
      <c r="H25" s="67" t="n">
        <f aca="false">INDEX(Tape_Occ,MATCH($C25,Tape_Property,0))</f>
        <v>0.955</v>
      </c>
      <c r="I25" s="66" t="n">
        <f aca="false">INDEX(Tape_GovtUnits,MATCH($C25,Tape_Property,0))</f>
        <v>3</v>
      </c>
      <c r="J25" s="34" t="n">
        <f aca="false">I25/G25</f>
        <v>0.0170454545454545</v>
      </c>
      <c r="K25" s="66" t="n">
        <f aca="false">INDEX(Tape_SF,MATCH($C25,Tape_Property,0))</f>
        <v>724</v>
      </c>
      <c r="L25" s="51" t="n">
        <f aca="false">INDEX(Tape_GPR_UW,MATCH($C25,Tape_Property,0))</f>
        <v>2519807.88</v>
      </c>
      <c r="M25" s="34" t="n">
        <f aca="false">L25/$L$29</f>
        <v>0.0352985441451111</v>
      </c>
      <c r="N25" s="32" t="n">
        <f aca="false">L25/R25/12</f>
        <v>1249.90470238095</v>
      </c>
      <c r="O25" s="111" t="n">
        <f aca="false">N25/K25</f>
        <v>1.72638771047093</v>
      </c>
      <c r="P25" s="51" t="n">
        <f aca="false">INDEX(Tape_ALA,MATCH($C25,Tape_Property,0))</f>
        <v>18600000</v>
      </c>
      <c r="Q25" s="34" t="n">
        <f aca="false">P25/$P$29</f>
        <v>0.031077694235589</v>
      </c>
      <c r="R25" s="36" t="n">
        <f aca="false">ROUND(G25*H25,0)</f>
        <v>168</v>
      </c>
      <c r="S25" s="97" t="str">
        <f aca="false">INDEX(Tape_State,MATCH($C25,Tape_Property,0))</f>
        <v>TX</v>
      </c>
      <c r="T25" s="65" t="str">
        <f aca="false">INDEX(Tape_Market,MATCH($C25,Tape_Property,0))</f>
        <v>Dallas-Fort Worth</v>
      </c>
    </row>
    <row r="26" customFormat="false" ht="15" hidden="false" customHeight="false" outlineLevel="0" collapsed="false">
      <c r="C26" s="61" t="str">
        <f aca="false">INDEX(Tape_Property,21)</f>
        <v>Rise North Arlington</v>
      </c>
      <c r="D26" s="61" t="str">
        <f aca="false">INDEX(Tape_City,MATCH($C26,Tape_Property,0))&amp;", "&amp;INDEX(Tape_State,MATCH($C26,Tape_Property,0))</f>
        <v>Arlington, TX</v>
      </c>
      <c r="E26" s="108" t="n">
        <f aca="false">INDEX(Tape_YearBuilt,MATCH($C26,Tape_Property,0))</f>
        <v>1980</v>
      </c>
      <c r="F26" s="95" t="str">
        <f aca="false">INDEX(Tape_YearReno,MATCH($C26,Tape_Property,0))</f>
        <v>2023-2026</v>
      </c>
      <c r="G26" s="57" t="n">
        <f aca="false">INDEX(Tape_Units,MATCH($C26,Tape_Property,0))</f>
        <v>262</v>
      </c>
      <c r="H26" s="62" t="n">
        <f aca="false">INDEX(Tape_Occ,MATCH($C26,Tape_Property,0))</f>
        <v>0.851</v>
      </c>
      <c r="I26" s="57" t="n">
        <f aca="false">INDEX(Tape_GovtUnits,MATCH($C26,Tape_Property,0))</f>
        <v>3</v>
      </c>
      <c r="J26" s="26" t="n">
        <f aca="false">I26/G26</f>
        <v>0.0114503816793893</v>
      </c>
      <c r="K26" s="57" t="n">
        <f aca="false">INDEX(Tape_SF,MATCH($C26,Tape_Property,0))</f>
        <v>824</v>
      </c>
      <c r="L26" s="49" t="n">
        <f aca="false">INDEX(Tape_GPR_UW,MATCH($C26,Tape_Property,0))</f>
        <v>3371136</v>
      </c>
      <c r="M26" s="26" t="n">
        <f aca="false">L26/$L$29</f>
        <v>0.047224311765853</v>
      </c>
      <c r="N26" s="25" t="n">
        <f aca="false">L26/R26/12</f>
        <v>1259.7668161435</v>
      </c>
      <c r="O26" s="109" t="n">
        <f aca="false">N26/K26</f>
        <v>1.52884322347512</v>
      </c>
      <c r="P26" s="49" t="n">
        <f aca="false">INDEX(Tape_ALA,MATCH($C26,Tape_Property,0))</f>
        <v>18000000</v>
      </c>
      <c r="Q26" s="26" t="n">
        <f aca="false">P26/$P$29</f>
        <v>0.0300751879699248</v>
      </c>
      <c r="R26" s="27" t="n">
        <f aca="false">ROUND(G26*H26,0)</f>
        <v>223</v>
      </c>
      <c r="S26" s="95" t="str">
        <f aca="false">INDEX(Tape_State,MATCH($C26,Tape_Property,0))</f>
        <v>TX</v>
      </c>
      <c r="T26" s="61" t="str">
        <f aca="false">INDEX(Tape_Market,MATCH($C26,Tape_Property,0))</f>
        <v>Dallas-Fort Worth</v>
      </c>
    </row>
    <row r="27" customFormat="false" ht="15" hidden="false" customHeight="false" outlineLevel="0" collapsed="false">
      <c r="C27" s="65" t="str">
        <f aca="false">INDEX(Tape_Property,22)</f>
        <v>Rise Gateway</v>
      </c>
      <c r="D27" s="65" t="str">
        <f aca="false">INDEX(Tape_City,MATCH($C27,Tape_Property,0))&amp;", "&amp;INDEX(Tape_State,MATCH($C27,Tape_Property,0))</f>
        <v>Garland, TX</v>
      </c>
      <c r="E27" s="110" t="n">
        <f aca="false">INDEX(Tape_YearBuilt,MATCH($C27,Tape_Property,0))</f>
        <v>1983</v>
      </c>
      <c r="F27" s="97" t="str">
        <f aca="false">INDEX(Tape_YearReno,MATCH($C27,Tape_Property,0))</f>
        <v>2024-2026</v>
      </c>
      <c r="G27" s="66" t="n">
        <f aca="false">INDEX(Tape_Units,MATCH($C27,Tape_Property,0))</f>
        <v>142</v>
      </c>
      <c r="H27" s="67" t="n">
        <f aca="false">INDEX(Tape_Occ,MATCH($C27,Tape_Property,0))</f>
        <v>0.923</v>
      </c>
      <c r="I27" s="66" t="n">
        <f aca="false">INDEX(Tape_GovtUnits,MATCH($C27,Tape_Property,0))</f>
        <v>5</v>
      </c>
      <c r="J27" s="34" t="n">
        <f aca="false">I27/G27</f>
        <v>0.0352112676056338</v>
      </c>
      <c r="K27" s="66" t="n">
        <f aca="false">INDEX(Tape_SF,MATCH($C27,Tape_Property,0))</f>
        <v>857</v>
      </c>
      <c r="L27" s="51" t="n">
        <f aca="false">INDEX(Tape_GPR_UW,MATCH($C27,Tape_Property,0))</f>
        <v>2110404</v>
      </c>
      <c r="M27" s="34" t="n">
        <f aca="false">L27/$L$29</f>
        <v>0.0295634398754317</v>
      </c>
      <c r="N27" s="32" t="n">
        <f aca="false">L27/R27/12</f>
        <v>1342.49618320611</v>
      </c>
      <c r="O27" s="111" t="n">
        <f aca="false">N27/K27</f>
        <v>1.56650663151238</v>
      </c>
      <c r="P27" s="51" t="n">
        <f aca="false">INDEX(Tape_ALA,MATCH($C27,Tape_Property,0))</f>
        <v>16100000</v>
      </c>
      <c r="Q27" s="34" t="n">
        <f aca="false">P27/$P$29</f>
        <v>0.0269005847953216</v>
      </c>
      <c r="R27" s="36" t="n">
        <f aca="false">ROUND(G27*H27,0)</f>
        <v>131</v>
      </c>
      <c r="S27" s="97" t="str">
        <f aca="false">INDEX(Tape_State,MATCH($C27,Tape_Property,0))</f>
        <v>TX</v>
      </c>
      <c r="T27" s="65" t="str">
        <f aca="false">INDEX(Tape_Market,MATCH($C27,Tape_Property,0))</f>
        <v>Dallas-Fort Worth</v>
      </c>
    </row>
    <row r="28" customFormat="false" ht="15" hidden="false" customHeight="false" outlineLevel="0" collapsed="false">
      <c r="C28" s="61" t="str">
        <f aca="false">INDEX(Tape_Property,23)</f>
        <v>Rise Matthews Pointe</v>
      </c>
      <c r="D28" s="61" t="str">
        <f aca="false">INDEX(Tape_City,MATCH($C28,Tape_Property,0))&amp;", "&amp;INDEX(Tape_State,MATCH($C28,Tape_Property,0))</f>
        <v>Matthews, NC</v>
      </c>
      <c r="E28" s="108" t="n">
        <f aca="false">INDEX(Tape_YearBuilt,MATCH($C28,Tape_Property,0))</f>
        <v>1986</v>
      </c>
      <c r="F28" s="95" t="str">
        <f aca="false">INDEX(Tape_YearReno,MATCH($C28,Tape_Property,0))</f>
        <v>2024-2026</v>
      </c>
      <c r="G28" s="57" t="n">
        <f aca="false">INDEX(Tape_Units,MATCH($C28,Tape_Property,0))</f>
        <v>100</v>
      </c>
      <c r="H28" s="62" t="n">
        <f aca="false">INDEX(Tape_Occ,MATCH($C28,Tape_Property,0))</f>
        <v>0.93</v>
      </c>
      <c r="I28" s="57" t="n">
        <f aca="false">INDEX(Tape_GovtUnits,MATCH($C28,Tape_Property,0))</f>
        <v>0</v>
      </c>
      <c r="J28" s="26" t="n">
        <f aca="false">I28/G28</f>
        <v>0</v>
      </c>
      <c r="K28" s="57" t="n">
        <f aca="false">INDEX(Tape_SF,MATCH($C28,Tape_Property,0))</f>
        <v>746</v>
      </c>
      <c r="L28" s="49" t="n">
        <f aca="false">INDEX(Tape_GPR_UW,MATCH($C28,Tape_Property,0))</f>
        <v>1475508</v>
      </c>
      <c r="M28" s="26" t="n">
        <f aca="false">L28/$L$29</f>
        <v>0.0206695457569823</v>
      </c>
      <c r="N28" s="25" t="n">
        <f aca="false">L28/R28/12</f>
        <v>1322.13978494624</v>
      </c>
      <c r="O28" s="109" t="n">
        <f aca="false">N28/K28</f>
        <v>1.77230534175099</v>
      </c>
      <c r="P28" s="49" t="n">
        <f aca="false">INDEX(Tape_ALA,MATCH($C28,Tape_Property,0))</f>
        <v>14500000</v>
      </c>
      <c r="Q28" s="26" t="n">
        <f aca="false">P28/$P$29</f>
        <v>0.0242272347535505</v>
      </c>
      <c r="R28" s="27" t="n">
        <f aca="false">ROUND(G28*H28,0)</f>
        <v>93</v>
      </c>
      <c r="S28" s="95" t="str">
        <f aca="false">INDEX(Tape_State,MATCH($C28,Tape_Property,0))</f>
        <v>NC</v>
      </c>
      <c r="T28" s="61" t="str">
        <f aca="false">INDEX(Tape_Market,MATCH($C28,Tape_Property,0))</f>
        <v>Charlotte</v>
      </c>
    </row>
    <row r="29" customFormat="false" ht="15" hidden="false" customHeight="false" outlineLevel="0" collapsed="false">
      <c r="C29" s="41" t="s">
        <v>185</v>
      </c>
      <c r="D29" s="42"/>
      <c r="E29" s="42"/>
      <c r="F29" s="42"/>
      <c r="G29" s="47" t="n">
        <f aca="false">SUM(G6:G28)</f>
        <v>4848</v>
      </c>
      <c r="H29" s="44" t="n">
        <f aca="false">R29/G29</f>
        <v>0.915841584158416</v>
      </c>
      <c r="I29" s="47" t="n">
        <f aca="false">SUM(I6:I28)</f>
        <v>103</v>
      </c>
      <c r="J29" s="44" t="n">
        <f aca="false">I29/G29</f>
        <v>0.0212458745874587</v>
      </c>
      <c r="K29" s="47" t="n">
        <f aca="false">SUMPRODUCT(K6:K28,G6:G28)/G29</f>
        <v>771.229991749175</v>
      </c>
      <c r="L29" s="43" t="n">
        <f aca="false">SUM(L6:L28)</f>
        <v>71385603.6</v>
      </c>
      <c r="M29" s="44" t="n">
        <f aca="false">SUM(M6:M28)</f>
        <v>1</v>
      </c>
      <c r="N29" s="43" t="n">
        <f aca="false">L29/R29/12</f>
        <v>1339.81988738739</v>
      </c>
      <c r="O29" s="112" t="n">
        <f aca="false">N29/K29</f>
        <v>1.73725075751869</v>
      </c>
      <c r="P29" s="43" t="n">
        <f aca="false">SUM(P6:P28)</f>
        <v>598500000</v>
      </c>
      <c r="Q29" s="44" t="n">
        <f aca="false">SUM(Q6:Q28)</f>
        <v>1</v>
      </c>
      <c r="R29" s="47" t="n">
        <f aca="false">SUM(R6:R28)</f>
        <v>4440</v>
      </c>
      <c r="S29" s="42"/>
      <c r="T29" s="42"/>
    </row>
    <row r="33" customFormat="false" ht="15" hidden="false" customHeight="false" outlineLevel="0" collapsed="false">
      <c r="C33" s="21" t="s">
        <v>410</v>
      </c>
    </row>
    <row r="34" customFormat="false" ht="43.5" hidden="false" customHeight="true" outlineLevel="0" collapsed="false">
      <c r="C34" s="22" t="s">
        <v>409</v>
      </c>
      <c r="D34" s="22" t="s">
        <v>411</v>
      </c>
      <c r="E34" s="22" t="s">
        <v>412</v>
      </c>
      <c r="F34" s="22" t="s">
        <v>329</v>
      </c>
      <c r="G34" s="22" t="s">
        <v>398</v>
      </c>
      <c r="H34" s="22" t="s">
        <v>401</v>
      </c>
      <c r="I34" s="22" t="s">
        <v>402</v>
      </c>
      <c r="J34" s="22" t="s">
        <v>403</v>
      </c>
      <c r="K34" s="22" t="s">
        <v>404</v>
      </c>
      <c r="L34" s="22" t="s">
        <v>405</v>
      </c>
      <c r="M34" s="22" t="s">
        <v>406</v>
      </c>
      <c r="N34" s="22" t="s">
        <v>407</v>
      </c>
    </row>
    <row r="35" customFormat="false" ht="15" hidden="false" customHeight="false" outlineLevel="0" collapsed="false">
      <c r="C35" s="113" t="s">
        <v>413</v>
      </c>
      <c r="D35" s="27" t="n">
        <f aca="false">COUNTIFS($S$6:$S$28,$C35)</f>
        <v>12</v>
      </c>
      <c r="E35" s="27" t="n">
        <f aca="false">SUMIFS($G$6:$G$28,$S$6:$S$28,$C35)</f>
        <v>2885</v>
      </c>
      <c r="F35" s="26" t="n">
        <f aca="false">E35/$G$29</f>
        <v>0.595090759075908</v>
      </c>
      <c r="G35" s="26" t="n">
        <f aca="false">SUMIFS($R$6:$R$28,$S$6:$S$28,$C35)/E35</f>
        <v>0.916117850953206</v>
      </c>
      <c r="H35" s="27" t="n">
        <f aca="false">SUMPRODUCT(($S$6:$S$28=$C35)*$K$6:$K$28*$G$6:$G$28)/E35</f>
        <v>771.141421143848</v>
      </c>
      <c r="I35" s="25" t="n">
        <f aca="false">SUMIFS($L$6:$L$28,$S$6:$S$28,$C35)</f>
        <v>40612365.36</v>
      </c>
      <c r="J35" s="26" t="n">
        <f aca="false">I35/$L$29</f>
        <v>0.568915345838723</v>
      </c>
      <c r="K35" s="25" t="n">
        <f aca="false">I35/SUMIFS($R$6:$R$28,$S$6:$S$28,$C35)/12</f>
        <v>1280.50086265607</v>
      </c>
      <c r="L35" s="109" t="n">
        <f aca="false">K35/H35</f>
        <v>1.6605266265644</v>
      </c>
      <c r="M35" s="25" t="n">
        <f aca="false">SUMIFS($P$6:$P$28,$S$6:$S$28,$C35)</f>
        <v>294200000</v>
      </c>
      <c r="N35" s="26" t="n">
        <f aca="false">M35/$P$29</f>
        <v>0.49156223893066</v>
      </c>
    </row>
    <row r="36" customFormat="false" ht="15" hidden="false" customHeight="false" outlineLevel="0" collapsed="false">
      <c r="C36" s="114" t="s">
        <v>414</v>
      </c>
      <c r="D36" s="36" t="n">
        <f aca="false">COUNTIFS($S$6:$S$28,$C36)</f>
        <v>9</v>
      </c>
      <c r="E36" s="36" t="n">
        <f aca="false">SUMIFS($G$6:$G$28,$S$6:$S$28,$C36)</f>
        <v>1623</v>
      </c>
      <c r="F36" s="34" t="n">
        <f aca="false">E36/$G$29</f>
        <v>0.334777227722772</v>
      </c>
      <c r="G36" s="34" t="n">
        <f aca="false">SUMIFS($R$6:$R$28,$S$6:$S$28,$C36)/E36</f>
        <v>0.913123844731978</v>
      </c>
      <c r="H36" s="36" t="n">
        <f aca="false">SUMPRODUCT(($S$6:$S$28=$C36)*$K$6:$K$28*$G$6:$G$28)/E36</f>
        <v>732.162661737523</v>
      </c>
      <c r="I36" s="32" t="n">
        <f aca="false">SUMIFS($L$6:$L$28,$S$6:$S$28,$C36)</f>
        <v>25737930.24</v>
      </c>
      <c r="J36" s="34" t="n">
        <f aca="false">I36/$L$29</f>
        <v>0.36054791081153</v>
      </c>
      <c r="K36" s="32" t="n">
        <f aca="false">I36/SUMIFS($R$6:$R$28,$S$6:$S$28,$C36)/12</f>
        <v>1447.25203778677</v>
      </c>
      <c r="L36" s="111" t="n">
        <f aca="false">K36/H36</f>
        <v>1.97668102106197</v>
      </c>
      <c r="M36" s="32" t="n">
        <f aca="false">SUMIFS($P$6:$P$28,$S$6:$S$28,$C36)</f>
        <v>256500000</v>
      </c>
      <c r="N36" s="34" t="n">
        <f aca="false">M36/$P$29</f>
        <v>0.428571428571429</v>
      </c>
    </row>
    <row r="37" customFormat="false" ht="15" hidden="false" customHeight="false" outlineLevel="0" collapsed="false">
      <c r="C37" s="113" t="s">
        <v>415</v>
      </c>
      <c r="D37" s="27" t="n">
        <f aca="false">COUNTIFS($S$6:$S$28,$C37)</f>
        <v>2</v>
      </c>
      <c r="E37" s="27" t="n">
        <f aca="false">SUMIFS($G$6:$G$28,$S$6:$S$28,$C37)</f>
        <v>340</v>
      </c>
      <c r="F37" s="26" t="n">
        <f aca="false">E37/$G$29</f>
        <v>0.0701320132013201</v>
      </c>
      <c r="G37" s="26" t="n">
        <f aca="false">SUMIFS($R$6:$R$28,$S$6:$S$28,$C37)/E37</f>
        <v>0.926470588235294</v>
      </c>
      <c r="H37" s="27" t="n">
        <f aca="false">SUMPRODUCT(($S$6:$S$28=$C37)*$K$6:$K$28*$G$6:$G$28)/E37</f>
        <v>958.470588235294</v>
      </c>
      <c r="I37" s="25" t="n">
        <f aca="false">SUMIFS($L$6:$L$28,$S$6:$S$28,$C37)</f>
        <v>5035308</v>
      </c>
      <c r="J37" s="26" t="n">
        <f aca="false">I37/$L$29</f>
        <v>0.0705367433497474</v>
      </c>
      <c r="K37" s="25" t="n">
        <f aca="false">I37/SUMIFS($R$6:$R$28,$S$6:$S$28,$C37)/12</f>
        <v>1332.09206349206</v>
      </c>
      <c r="L37" s="109" t="n">
        <f aca="false">K37/H37</f>
        <v>1.38981005765098</v>
      </c>
      <c r="M37" s="25" t="n">
        <f aca="false">SUMIFS($P$6:$P$28,$S$6:$S$28,$C37)</f>
        <v>47800000</v>
      </c>
      <c r="N37" s="26" t="n">
        <f aca="false">M37/$P$29</f>
        <v>0.0798663324979115</v>
      </c>
    </row>
    <row r="38" customFormat="false" ht="15" hidden="false" customHeight="false" outlineLevel="0" collapsed="false">
      <c r="C38" s="41" t="s">
        <v>185</v>
      </c>
      <c r="D38" s="47" t="n">
        <f aca="false">SUM(D35:D37)</f>
        <v>23</v>
      </c>
      <c r="E38" s="47" t="n">
        <f aca="false">SUM(E35:E37)</f>
        <v>4848</v>
      </c>
      <c r="F38" s="44" t="n">
        <f aca="false">SUM(F35:F37)</f>
        <v>1</v>
      </c>
      <c r="G38" s="44" t="n">
        <f aca="false">SUMPRODUCT(G35:G37,E35:E37)/E38</f>
        <v>0.915841584158416</v>
      </c>
      <c r="H38" s="47" t="n">
        <f aca="false">SUMPRODUCT(H35:H37,E35:E37)/E38</f>
        <v>771.229991749175</v>
      </c>
      <c r="I38" s="43" t="n">
        <f aca="false">SUM(I35:I37)</f>
        <v>71385603.6</v>
      </c>
      <c r="J38" s="44" t="n">
        <f aca="false">SUM(J35:J37)</f>
        <v>1</v>
      </c>
      <c r="K38" s="43" t="n">
        <f aca="false">I38/$R$29/12</f>
        <v>1339.81988738739</v>
      </c>
      <c r="L38" s="112" t="n">
        <f aca="false">K38/H38</f>
        <v>1.73725075751869</v>
      </c>
      <c r="M38" s="43" t="n">
        <f aca="false">SUM(M35:M37)</f>
        <v>598500000</v>
      </c>
      <c r="N38" s="44" t="n">
        <f aca="false">SUM(N35:N37)</f>
        <v>1</v>
      </c>
    </row>
    <row r="40" customFormat="false" ht="15" hidden="false" customHeight="false" outlineLevel="0" collapsed="false">
      <c r="C40" s="21" t="s">
        <v>416</v>
      </c>
    </row>
    <row r="41" customFormat="false" ht="43.5" hidden="false" customHeight="true" outlineLevel="0" collapsed="false">
      <c r="C41" s="22" t="s">
        <v>165</v>
      </c>
      <c r="D41" s="22" t="s">
        <v>411</v>
      </c>
      <c r="E41" s="22" t="s">
        <v>412</v>
      </c>
      <c r="F41" s="22" t="s">
        <v>329</v>
      </c>
      <c r="G41" s="22" t="s">
        <v>398</v>
      </c>
      <c r="H41" s="22" t="s">
        <v>401</v>
      </c>
      <c r="I41" s="22" t="s">
        <v>402</v>
      </c>
      <c r="J41" s="22" t="s">
        <v>403</v>
      </c>
      <c r="K41" s="22" t="s">
        <v>404</v>
      </c>
      <c r="L41" s="22" t="s">
        <v>405</v>
      </c>
      <c r="M41" s="22" t="s">
        <v>406</v>
      </c>
      <c r="N41" s="22" t="s">
        <v>407</v>
      </c>
    </row>
    <row r="42" customFormat="false" ht="15" hidden="false" customHeight="false" outlineLevel="0" collapsed="false">
      <c r="C42" s="113" t="s">
        <v>417</v>
      </c>
      <c r="D42" s="27" t="n">
        <f aca="false">COUNTIFS($T$6:$T$28,$C42)</f>
        <v>12</v>
      </c>
      <c r="E42" s="27" t="n">
        <f aca="false">SUMIFS($G$6:$G$28,$T$6:$T$28,$C42)</f>
        <v>2885</v>
      </c>
      <c r="F42" s="26" t="n">
        <f aca="false">E42/$G$29</f>
        <v>0.595090759075908</v>
      </c>
      <c r="G42" s="26" t="n">
        <f aca="false">SUMIFS($R$6:$R$28,$T$6:$T$28,$C42)/E42</f>
        <v>0.916117850953206</v>
      </c>
      <c r="H42" s="27" t="n">
        <f aca="false">SUMPRODUCT(($T$6:$T$28=$C42)*$K$6:$K$28*$G$6:$G$28)/E42</f>
        <v>771.141421143848</v>
      </c>
      <c r="I42" s="25" t="n">
        <f aca="false">SUMIFS($L$6:$L$28,$T$6:$T$28,$C42)</f>
        <v>40612365.36</v>
      </c>
      <c r="J42" s="26" t="n">
        <f aca="false">I42/$L$29</f>
        <v>0.568915345838723</v>
      </c>
      <c r="K42" s="25" t="n">
        <f aca="false">I42/SUMIFS($R$6:$R$28,$T$6:$T$28,$C42)/12</f>
        <v>1280.50086265607</v>
      </c>
      <c r="L42" s="109" t="n">
        <f aca="false">K42/H42</f>
        <v>1.6605266265644</v>
      </c>
      <c r="M42" s="25" t="n">
        <f aca="false">SUMIFS($P$6:$P$28,$T$6:$T$28,$C42)</f>
        <v>294200000</v>
      </c>
      <c r="N42" s="26" t="n">
        <f aca="false">M42/$P$29</f>
        <v>0.49156223893066</v>
      </c>
    </row>
    <row r="43" customFormat="false" ht="15" hidden="false" customHeight="false" outlineLevel="0" collapsed="false">
      <c r="C43" s="114" t="s">
        <v>418</v>
      </c>
      <c r="D43" s="36" t="n">
        <f aca="false">COUNTIFS($T$6:$T$28,$C43)</f>
        <v>9</v>
      </c>
      <c r="E43" s="36" t="n">
        <f aca="false">SUMIFS($G$6:$G$28,$T$6:$T$28,$C43)</f>
        <v>1623</v>
      </c>
      <c r="F43" s="34" t="n">
        <f aca="false">E43/$G$29</f>
        <v>0.334777227722772</v>
      </c>
      <c r="G43" s="34" t="n">
        <f aca="false">SUMIFS($R$6:$R$28,$T$6:$T$28,$C43)/E43</f>
        <v>0.913123844731978</v>
      </c>
      <c r="H43" s="36" t="n">
        <f aca="false">SUMPRODUCT(($T$6:$T$28=$C43)*$K$6:$K$28*$G$6:$G$28)/E43</f>
        <v>732.162661737523</v>
      </c>
      <c r="I43" s="32" t="n">
        <f aca="false">SUMIFS($L$6:$L$28,$T$6:$T$28,$C43)</f>
        <v>25737930.24</v>
      </c>
      <c r="J43" s="34" t="n">
        <f aca="false">I43/$L$29</f>
        <v>0.36054791081153</v>
      </c>
      <c r="K43" s="32" t="n">
        <f aca="false">I43/SUMIFS($R$6:$R$28,$T$6:$T$28,$C43)/12</f>
        <v>1447.25203778677</v>
      </c>
      <c r="L43" s="111" t="n">
        <f aca="false">K43/H43</f>
        <v>1.97668102106197</v>
      </c>
      <c r="M43" s="32" t="n">
        <f aca="false">SUMIFS($P$6:$P$28,$T$6:$T$28,$C43)</f>
        <v>256500000</v>
      </c>
      <c r="N43" s="34" t="n">
        <f aca="false">M43/$P$29</f>
        <v>0.428571428571429</v>
      </c>
    </row>
    <row r="44" customFormat="false" ht="15" hidden="false" customHeight="false" outlineLevel="0" collapsed="false">
      <c r="C44" s="113" t="s">
        <v>419</v>
      </c>
      <c r="D44" s="27" t="n">
        <f aca="false">COUNTIFS($T$6:$T$28,$C44)</f>
        <v>1</v>
      </c>
      <c r="E44" s="27" t="n">
        <f aca="false">SUMIFS($G$6:$G$28,$T$6:$T$28,$C44)</f>
        <v>240</v>
      </c>
      <c r="F44" s="26" t="n">
        <f aca="false">E44/$G$29</f>
        <v>0.0495049504950495</v>
      </c>
      <c r="G44" s="26" t="n">
        <f aca="false">SUMIFS($R$6:$R$28,$T$6:$T$28,$C44)/E44</f>
        <v>0.925</v>
      </c>
      <c r="H44" s="27" t="n">
        <f aca="false">SUMPRODUCT(($T$6:$T$28=$C44)*$K$6:$K$28*$G$6:$G$28)/E44</f>
        <v>1047</v>
      </c>
      <c r="I44" s="25" t="n">
        <f aca="false">SUMIFS($L$6:$L$28,$T$6:$T$28,$C44)</f>
        <v>3559800</v>
      </c>
      <c r="J44" s="26" t="n">
        <f aca="false">I44/$L$29</f>
        <v>0.0498671975927651</v>
      </c>
      <c r="K44" s="25" t="n">
        <f aca="false">I44/SUMIFS($R$6:$R$28,$T$6:$T$28,$C44)/12</f>
        <v>1336.26126126126</v>
      </c>
      <c r="L44" s="109" t="n">
        <f aca="false">K44/H44</f>
        <v>1.27627627627628</v>
      </c>
      <c r="M44" s="25" t="n">
        <f aca="false">SUMIFS($P$6:$P$28,$T$6:$T$28,$C44)</f>
        <v>33300000</v>
      </c>
      <c r="N44" s="26" t="n">
        <f aca="false">M44/$P$29</f>
        <v>0.0556390977443609</v>
      </c>
    </row>
    <row r="45" customFormat="false" ht="15" hidden="false" customHeight="false" outlineLevel="0" collapsed="false">
      <c r="C45" s="114" t="s">
        <v>420</v>
      </c>
      <c r="D45" s="36" t="n">
        <f aca="false">COUNTIFS($T$6:$T$28,$C45)</f>
        <v>1</v>
      </c>
      <c r="E45" s="36" t="n">
        <f aca="false">SUMIFS($G$6:$G$28,$T$6:$T$28,$C45)</f>
        <v>100</v>
      </c>
      <c r="F45" s="34" t="n">
        <f aca="false">E45/$G$29</f>
        <v>0.0206270627062706</v>
      </c>
      <c r="G45" s="34" t="n">
        <f aca="false">SUMIFS($R$6:$R$28,$T$6:$T$28,$C45)/E45</f>
        <v>0.93</v>
      </c>
      <c r="H45" s="36" t="n">
        <f aca="false">SUMPRODUCT(($T$6:$T$28=$C45)*$K$6:$K$28*$G$6:$G$28)/E45</f>
        <v>746</v>
      </c>
      <c r="I45" s="32" t="n">
        <f aca="false">SUMIFS($L$6:$L$28,$T$6:$T$28,$C45)</f>
        <v>1475508</v>
      </c>
      <c r="J45" s="34" t="n">
        <f aca="false">I45/$L$29</f>
        <v>0.0206695457569823</v>
      </c>
      <c r="K45" s="32" t="n">
        <f aca="false">I45/SUMIFS($R$6:$R$28,$T$6:$T$28,$C45)/12</f>
        <v>1322.13978494624</v>
      </c>
      <c r="L45" s="111" t="n">
        <f aca="false">K45/H45</f>
        <v>1.77230534175099</v>
      </c>
      <c r="M45" s="32" t="n">
        <f aca="false">SUMIFS($P$6:$P$28,$T$6:$T$28,$C45)</f>
        <v>14500000</v>
      </c>
      <c r="N45" s="34" t="n">
        <f aca="false">M45/$P$29</f>
        <v>0.0242272347535505</v>
      </c>
    </row>
    <row r="46" customFormat="false" ht="15" hidden="false" customHeight="false" outlineLevel="0" collapsed="false">
      <c r="C46" s="41" t="s">
        <v>185</v>
      </c>
      <c r="D46" s="47" t="n">
        <f aca="false">SUM(D42:D45)</f>
        <v>23</v>
      </c>
      <c r="E46" s="47" t="n">
        <f aca="false">SUM(E42:E45)</f>
        <v>4848</v>
      </c>
      <c r="F46" s="44" t="n">
        <f aca="false">SUM(F42:F45)</f>
        <v>1</v>
      </c>
      <c r="G46" s="44" t="n">
        <f aca="false">SUMPRODUCT(G42:G45,E42:E45)/E46</f>
        <v>0.915841584158416</v>
      </c>
      <c r="H46" s="47" t="n">
        <f aca="false">SUMPRODUCT(H42:H45,E42:E45)/E46</f>
        <v>771.229991749175</v>
      </c>
      <c r="I46" s="43" t="n">
        <f aca="false">SUM(I42:I45)</f>
        <v>71385603.6</v>
      </c>
      <c r="J46" s="44" t="n">
        <f aca="false">SUM(J42:J45)</f>
        <v>1</v>
      </c>
      <c r="K46" s="43" t="n">
        <f aca="false">I46/$R$29/12</f>
        <v>1339.81988738739</v>
      </c>
      <c r="L46" s="112" t="n">
        <f aca="false">K46/H46</f>
        <v>1.73725075751869</v>
      </c>
      <c r="M46" s="43" t="n">
        <f aca="false">SUM(M42:M45)</f>
        <v>598500000</v>
      </c>
      <c r="N46" s="44" t="n">
        <f aca="false">SUM(N42:N45)</f>
        <v>1</v>
      </c>
    </row>
    <row r="48" customFormat="false" ht="15" hidden="false" customHeight="false" outlineLevel="0" collapsed="false">
      <c r="C48" s="19" t="s">
        <v>421</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&amp;L&amp;7 &amp;K9aa0a8CONFIDENTIAL&amp;R&amp;7 &amp;K9aa0a8&amp;P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B1:I6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1" style="0" width="3"/>
    <col collapsed="false" customWidth="true" hidden="false" outlineLevel="0" max="3" min="3" style="0" width="52"/>
    <col collapsed="false" customWidth="true" hidden="false" outlineLevel="0" max="5" min="4" style="0" width="17"/>
    <col collapsed="false" customWidth="true" hidden="false" outlineLevel="0" max="6" min="6" style="0" width="14"/>
    <col collapsed="false" customWidth="true" hidden="false" outlineLevel="0" max="7" min="7" style="0" width="11"/>
    <col collapsed="false" customWidth="true" hidden="false" outlineLevel="0" max="8" min="8" style="0" width="10"/>
    <col collapsed="false" customWidth="true" hidden="false" outlineLevel="0" max="9" min="9" style="0" width="40"/>
  </cols>
  <sheetData>
    <row r="1" customFormat="false" ht="15" hidden="false" customHeight="false" outlineLevel="0" collapsed="false">
      <c r="B1" s="1" t="s">
        <v>422</v>
      </c>
      <c r="C1" s="4"/>
      <c r="D1" s="4"/>
      <c r="E1" s="4"/>
      <c r="F1" s="4"/>
      <c r="G1" s="4"/>
      <c r="H1" s="4"/>
      <c r="I1" s="4"/>
    </row>
    <row r="2" customFormat="false" ht="15" hidden="false" customHeight="false" outlineLevel="0" collapsed="false">
      <c r="B2" s="19" t="s">
        <v>423</v>
      </c>
    </row>
    <row r="3" customFormat="false" ht="15" hidden="false" customHeight="false" outlineLevel="0" collapsed="false">
      <c r="C3" s="52" t="s">
        <v>424</v>
      </c>
      <c r="D3" s="115" t="str">
        <f aca="false">IF(COUNTIF(H6:H200,"CHECK")=0,"OK","CHECK")</f>
        <v>OK</v>
      </c>
    </row>
    <row r="5" customFormat="false" ht="19.5" hidden="false" customHeight="true" outlineLevel="0" collapsed="false">
      <c r="C5" s="22" t="s">
        <v>425</v>
      </c>
      <c r="D5" s="22" t="s">
        <v>426</v>
      </c>
      <c r="E5" s="22" t="s">
        <v>427</v>
      </c>
      <c r="F5" s="22" t="s">
        <v>428</v>
      </c>
      <c r="G5" s="22" t="s">
        <v>429</v>
      </c>
      <c r="H5" s="22" t="s">
        <v>430</v>
      </c>
      <c r="I5" s="22" t="s">
        <v>431</v>
      </c>
    </row>
    <row r="6" customFormat="false" ht="15" hidden="false" customHeight="false" outlineLevel="0" collapsed="false">
      <c r="C6" s="6" t="s">
        <v>432</v>
      </c>
      <c r="D6" s="57" t="n">
        <f aca="false">Total_Units</f>
        <v>4848</v>
      </c>
      <c r="E6" s="16" t="n">
        <v>4848</v>
      </c>
      <c r="F6" s="27" t="n">
        <f aca="false">D6-E6</f>
        <v>0</v>
      </c>
      <c r="G6" s="16" t="n">
        <v>0</v>
      </c>
      <c r="H6" s="58" t="str">
        <f aca="false">IF(ABS(F6)&lt;=G6,"OK","CHECK")</f>
        <v>OK</v>
      </c>
      <c r="I6" s="19" t="s">
        <v>433</v>
      </c>
    </row>
    <row r="7" customFormat="false" ht="15" hidden="false" customHeight="false" outlineLevel="0" collapsed="false">
      <c r="C7" s="9" t="s">
        <v>434</v>
      </c>
      <c r="D7" s="51" t="n">
        <f aca="false">Mortgage_Bal</f>
        <v>548500000</v>
      </c>
      <c r="E7" s="37" t="n">
        <v>548500000</v>
      </c>
      <c r="F7" s="32" t="n">
        <f aca="false">D7-E7</f>
        <v>0</v>
      </c>
      <c r="G7" s="17" t="n">
        <v>0</v>
      </c>
      <c r="H7" s="116" t="str">
        <f aca="false">IF(ABS(F7)&lt;=G7,"OK","CHECK")</f>
        <v>OK</v>
      </c>
      <c r="I7" s="19" t="s">
        <v>435</v>
      </c>
    </row>
    <row r="8" customFormat="false" ht="15" hidden="false" customHeight="false" outlineLevel="0" collapsed="false">
      <c r="C8" s="6" t="s">
        <v>436</v>
      </c>
      <c r="D8" s="49" t="n">
        <f aca="false">Mezz_Bal</f>
        <v>50000000</v>
      </c>
      <c r="E8" s="28" t="n">
        <v>50000000</v>
      </c>
      <c r="F8" s="25" t="n">
        <f aca="false">D8-E8</f>
        <v>0</v>
      </c>
      <c r="G8" s="16" t="n">
        <v>0</v>
      </c>
      <c r="H8" s="58" t="str">
        <f aca="false">IF(ABS(F8)&lt;=G8,"OK","CHECK")</f>
        <v>OK</v>
      </c>
      <c r="I8" s="19" t="s">
        <v>433</v>
      </c>
    </row>
    <row r="9" customFormat="false" ht="15" hidden="false" customHeight="false" outlineLevel="0" collapsed="false">
      <c r="C9" s="9" t="s">
        <v>437</v>
      </c>
      <c r="D9" s="51" t="n">
        <f aca="false">Total_Debt_ALA</f>
        <v>598500000</v>
      </c>
      <c r="E9" s="37" t="n">
        <v>598500000</v>
      </c>
      <c r="F9" s="32" t="n">
        <f aca="false">D9-E9</f>
        <v>0</v>
      </c>
      <c r="G9" s="17" t="n">
        <v>0</v>
      </c>
      <c r="H9" s="116" t="str">
        <f aca="false">IF(ABS(F9)&lt;=G9,"OK","CHECK")</f>
        <v>OK</v>
      </c>
      <c r="I9" s="19" t="s">
        <v>438</v>
      </c>
    </row>
    <row r="10" customFormat="false" ht="15" hidden="false" customHeight="false" outlineLevel="0" collapsed="false">
      <c r="C10" s="6" t="s">
        <v>439</v>
      </c>
      <c r="D10" s="49" t="n">
        <f aca="false">Mortgage_Total</f>
        <v>548500000</v>
      </c>
      <c r="E10" s="28" t="n">
        <v>548500000</v>
      </c>
      <c r="F10" s="25" t="n">
        <f aca="false">D10-E10</f>
        <v>0</v>
      </c>
      <c r="G10" s="16" t="n">
        <v>1</v>
      </c>
      <c r="H10" s="58" t="str">
        <f aca="false">IF(ABS(F10)&lt;=G10,"OK","CHECK")</f>
        <v>OK</v>
      </c>
      <c r="I10" s="19" t="s">
        <v>435</v>
      </c>
    </row>
    <row r="11" customFormat="false" ht="15" hidden="false" customHeight="false" outlineLevel="0" collapsed="false">
      <c r="C11" s="9" t="s">
        <v>440</v>
      </c>
      <c r="D11" s="67" t="n">
        <f aca="false">Class_Pct_Total</f>
        <v>1</v>
      </c>
      <c r="E11" s="33" t="n">
        <v>1</v>
      </c>
      <c r="F11" s="34" t="n">
        <f aca="false">D11-E11</f>
        <v>0</v>
      </c>
      <c r="G11" s="117" t="n">
        <v>1E-005</v>
      </c>
      <c r="H11" s="116" t="str">
        <f aca="false">IF(ABS(F11)&lt;=G11,"OK","CHECK")</f>
        <v>OK</v>
      </c>
      <c r="I11" s="19" t="s">
        <v>441</v>
      </c>
    </row>
    <row r="12" customFormat="false" ht="15" hidden="false" customHeight="false" outlineLevel="0" collapsed="false">
      <c r="C12" s="6" t="s">
        <v>442</v>
      </c>
      <c r="D12" s="49" t="n">
        <f aca="false">Appraised_Value_Portfolio</f>
        <v>759000000</v>
      </c>
      <c r="E12" s="28" t="n">
        <v>759000000</v>
      </c>
      <c r="F12" s="25" t="n">
        <f aca="false">D12-E12</f>
        <v>0</v>
      </c>
      <c r="G12" s="16" t="n">
        <v>0</v>
      </c>
      <c r="H12" s="58" t="str">
        <f aca="false">IF(ABS(F12)&lt;=G12,"OK","CHECK")</f>
        <v>OK</v>
      </c>
      <c r="I12" s="19" t="s">
        <v>443</v>
      </c>
    </row>
    <row r="13" customFormat="false" ht="15" hidden="false" customHeight="false" outlineLevel="0" collapsed="false">
      <c r="C13" s="9" t="s">
        <v>444</v>
      </c>
      <c r="D13" s="51" t="n">
        <f aca="false">Appraised_Value_AsIs</f>
        <v>738150000</v>
      </c>
      <c r="E13" s="37" t="n">
        <v>738200000</v>
      </c>
      <c r="F13" s="32" t="n">
        <f aca="false">D13-E13</f>
        <v>-50000</v>
      </c>
      <c r="G13" s="17" t="n">
        <v>50000</v>
      </c>
      <c r="H13" s="116" t="str">
        <f aca="false">IF(ABS(F13)&lt;=G13,"OK","CHECK")</f>
        <v>OK</v>
      </c>
      <c r="I13" s="19" t="s">
        <v>445</v>
      </c>
    </row>
    <row r="14" customFormat="false" ht="15" hidden="false" customHeight="false" outlineLevel="0" collapsed="false">
      <c r="C14" s="6" t="s">
        <v>446</v>
      </c>
      <c r="D14" s="49" t="n">
        <f aca="false">Tape_NOI_UW_Total</f>
        <v>41209415.209242</v>
      </c>
      <c r="E14" s="28" t="n">
        <v>41209415</v>
      </c>
      <c r="F14" s="25" t="n">
        <f aca="false">D14-E14</f>
        <v>0.209242045879364</v>
      </c>
      <c r="G14" s="16" t="n">
        <v>1</v>
      </c>
      <c r="H14" s="58" t="str">
        <f aca="false">IF(ABS(F14)&lt;=G14,"OK","CHECK")</f>
        <v>OK</v>
      </c>
      <c r="I14" s="19" t="s">
        <v>447</v>
      </c>
    </row>
    <row r="15" customFormat="false" ht="15" hidden="false" customHeight="false" outlineLevel="0" collapsed="false">
      <c r="C15" s="9" t="s">
        <v>448</v>
      </c>
      <c r="D15" s="51" t="n">
        <f aca="false">Tape_NCF_UW_Total</f>
        <v>39948935.209242</v>
      </c>
      <c r="E15" s="37" t="n">
        <v>39948935</v>
      </c>
      <c r="F15" s="32" t="n">
        <f aca="false">D15-E15</f>
        <v>0.209242045879364</v>
      </c>
      <c r="G15" s="17" t="n">
        <v>1</v>
      </c>
      <c r="H15" s="116" t="str">
        <f aca="false">IF(ABS(F15)&lt;=G15,"OK","CHECK")</f>
        <v>OK</v>
      </c>
      <c r="I15" s="19" t="s">
        <v>447</v>
      </c>
    </row>
    <row r="16" customFormat="false" ht="15" hidden="false" customHeight="false" outlineLevel="0" collapsed="false">
      <c r="C16" s="6" t="s">
        <v>449</v>
      </c>
      <c r="D16" s="49" t="n">
        <f aca="false">Rollup_NOI_UW</f>
        <v>41209416</v>
      </c>
      <c r="E16" s="28" t="n">
        <v>41209415</v>
      </c>
      <c r="F16" s="25" t="n">
        <f aca="false">D16-E16</f>
        <v>1</v>
      </c>
      <c r="G16" s="16" t="n">
        <v>2</v>
      </c>
      <c r="H16" s="58" t="str">
        <f aca="false">IF(ABS(F16)&lt;=G16,"OK","CHECK")</f>
        <v>OK</v>
      </c>
      <c r="I16" s="19" t="s">
        <v>450</v>
      </c>
    </row>
    <row r="17" customFormat="false" ht="15" hidden="false" customHeight="false" outlineLevel="0" collapsed="false">
      <c r="C17" s="9" t="s">
        <v>451</v>
      </c>
      <c r="D17" s="51" t="n">
        <f aca="false">Tape_NOI_TTM_Total</f>
        <v>37557383.464</v>
      </c>
      <c r="E17" s="37" t="n">
        <v>37557383</v>
      </c>
      <c r="F17" s="32" t="n">
        <f aca="false">D17-E17</f>
        <v>0.464000001549721</v>
      </c>
      <c r="G17" s="17" t="n">
        <v>1</v>
      </c>
      <c r="H17" s="116" t="str">
        <f aca="false">IF(ABS(F17)&lt;=G17,"OK","CHECK")</f>
        <v>OK</v>
      </c>
      <c r="I17" s="19" t="s">
        <v>450</v>
      </c>
    </row>
    <row r="18" customFormat="false" ht="15" hidden="false" customHeight="false" outlineLevel="0" collapsed="false">
      <c r="C18" s="6" t="s">
        <v>452</v>
      </c>
      <c r="D18" s="49" t="n">
        <f aca="false">Rollup_NOI_TTM</f>
        <v>37557383</v>
      </c>
      <c r="E18" s="28" t="n">
        <v>37557383</v>
      </c>
      <c r="F18" s="25" t="n">
        <f aca="false">D18-E18</f>
        <v>0</v>
      </c>
      <c r="G18" s="16" t="n">
        <v>2</v>
      </c>
      <c r="H18" s="58" t="str">
        <f aca="false">IF(ABS(F18)&lt;=G18,"OK","CHECK")</f>
        <v>OK</v>
      </c>
      <c r="I18" s="19" t="s">
        <v>450</v>
      </c>
    </row>
    <row r="19" customFormat="false" ht="15" hidden="false" customHeight="false" outlineLevel="0" collapsed="false">
      <c r="C19" s="9" t="s">
        <v>453</v>
      </c>
      <c r="D19" s="51" t="n">
        <f aca="false">SUM(Tape_NOI24)</f>
        <v>33357660.39</v>
      </c>
      <c r="E19" s="37" t="n">
        <v>33357660</v>
      </c>
      <c r="F19" s="32" t="n">
        <f aca="false">D19-E19</f>
        <v>0.389999996870756</v>
      </c>
      <c r="G19" s="17" t="n">
        <v>1</v>
      </c>
      <c r="H19" s="116" t="str">
        <f aca="false">IF(ABS(F19)&lt;=G19,"OK","CHECK")</f>
        <v>OK</v>
      </c>
      <c r="I19" s="19" t="s">
        <v>450</v>
      </c>
    </row>
    <row r="20" customFormat="false" ht="15" hidden="false" customHeight="false" outlineLevel="0" collapsed="false">
      <c r="C20" s="6" t="s">
        <v>454</v>
      </c>
      <c r="D20" s="49" t="n">
        <f aca="false">Rollup_NOI_24</f>
        <v>33357660</v>
      </c>
      <c r="E20" s="28" t="n">
        <v>33357660</v>
      </c>
      <c r="F20" s="25" t="n">
        <f aca="false">D20-E20</f>
        <v>0</v>
      </c>
      <c r="G20" s="16" t="n">
        <v>2</v>
      </c>
      <c r="H20" s="58" t="str">
        <f aca="false">IF(ABS(F20)&lt;=G20,"OK","CHECK")</f>
        <v>OK</v>
      </c>
      <c r="I20" s="19" t="s">
        <v>450</v>
      </c>
    </row>
    <row r="21" customFormat="false" ht="15" hidden="false" customHeight="false" outlineLevel="0" collapsed="false">
      <c r="C21" s="9" t="s">
        <v>455</v>
      </c>
      <c r="D21" s="51" t="n">
        <f aca="false">SUM(Tape_NOI25)</f>
        <v>37262130.74</v>
      </c>
      <c r="E21" s="37" t="n">
        <v>37262131</v>
      </c>
      <c r="F21" s="32" t="n">
        <f aca="false">D21-E21</f>
        <v>-0.259999997913837</v>
      </c>
      <c r="G21" s="17" t="n">
        <v>1</v>
      </c>
      <c r="H21" s="116" t="str">
        <f aca="false">IF(ABS(F21)&lt;=G21,"OK","CHECK")</f>
        <v>OK</v>
      </c>
      <c r="I21" s="19" t="s">
        <v>450</v>
      </c>
    </row>
    <row r="22" customFormat="false" ht="15" hidden="false" customHeight="false" outlineLevel="0" collapsed="false">
      <c r="C22" s="6" t="s">
        <v>456</v>
      </c>
      <c r="D22" s="49" t="n">
        <f aca="false">Rollup_NOI_25</f>
        <v>37262131</v>
      </c>
      <c r="E22" s="28" t="n">
        <v>37262131</v>
      </c>
      <c r="F22" s="25" t="n">
        <f aca="false">D22-E22</f>
        <v>0</v>
      </c>
      <c r="G22" s="16" t="n">
        <v>2</v>
      </c>
      <c r="H22" s="58" t="str">
        <f aca="false">IF(ABS(F22)&lt;=G22,"OK","CHECK")</f>
        <v>OK</v>
      </c>
      <c r="I22" s="19" t="s">
        <v>450</v>
      </c>
    </row>
    <row r="23" customFormat="false" ht="15" hidden="false" customHeight="false" outlineLevel="0" collapsed="false">
      <c r="C23" s="9" t="s">
        <v>457</v>
      </c>
      <c r="D23" s="51" t="n">
        <f aca="false">SUM(Tape_EGI_UW)</f>
        <v>78387300.1628849</v>
      </c>
      <c r="E23" s="37" t="n">
        <v>78387300</v>
      </c>
      <c r="F23" s="32" t="n">
        <f aca="false">D23-E23</f>
        <v>0.162884846329689</v>
      </c>
      <c r="G23" s="17" t="n">
        <v>1</v>
      </c>
      <c r="H23" s="116" t="str">
        <f aca="false">IF(ABS(F23)&lt;=G23,"OK","CHECK")</f>
        <v>OK</v>
      </c>
      <c r="I23" s="19" t="s">
        <v>450</v>
      </c>
    </row>
    <row r="24" customFormat="false" ht="15" hidden="false" customHeight="false" outlineLevel="0" collapsed="false">
      <c r="C24" s="6" t="s">
        <v>458</v>
      </c>
      <c r="D24" s="49" t="n">
        <f aca="false">Rollup_EGI_UW</f>
        <v>78387300</v>
      </c>
      <c r="E24" s="28" t="n">
        <v>78387300</v>
      </c>
      <c r="F24" s="25" t="n">
        <f aca="false">D24-E24</f>
        <v>0</v>
      </c>
      <c r="G24" s="16" t="n">
        <v>2</v>
      </c>
      <c r="H24" s="58" t="str">
        <f aca="false">IF(ABS(F24)&lt;=G24,"OK","CHECK")</f>
        <v>OK</v>
      </c>
      <c r="I24" s="19" t="s">
        <v>450</v>
      </c>
    </row>
    <row r="25" customFormat="false" ht="15" hidden="false" customHeight="false" outlineLevel="0" collapsed="false">
      <c r="C25" s="9" t="s">
        <v>459</v>
      </c>
      <c r="D25" s="51" t="n">
        <f aca="false">SUM(Tape_EGI_TTM)</f>
        <v>74959984.3</v>
      </c>
      <c r="E25" s="37" t="n">
        <v>74959984</v>
      </c>
      <c r="F25" s="32" t="n">
        <f aca="false">D25-E25</f>
        <v>0.299999997019768</v>
      </c>
      <c r="G25" s="17" t="n">
        <v>1</v>
      </c>
      <c r="H25" s="116" t="str">
        <f aca="false">IF(ABS(F25)&lt;=G25,"OK","CHECK")</f>
        <v>OK</v>
      </c>
      <c r="I25" s="19" t="s">
        <v>450</v>
      </c>
    </row>
    <row r="26" customFormat="false" ht="15" hidden="false" customHeight="false" outlineLevel="0" collapsed="false">
      <c r="C26" s="6" t="s">
        <v>460</v>
      </c>
      <c r="D26" s="49" t="n">
        <f aca="false">Rollup_EGI_TTM</f>
        <v>74959984</v>
      </c>
      <c r="E26" s="28" t="n">
        <v>74959984</v>
      </c>
      <c r="F26" s="25" t="n">
        <f aca="false">D26-E26</f>
        <v>0</v>
      </c>
      <c r="G26" s="16" t="n">
        <v>2</v>
      </c>
      <c r="H26" s="58" t="str">
        <f aca="false">IF(ABS(F26)&lt;=G26,"OK","CHECK")</f>
        <v>OK</v>
      </c>
      <c r="I26" s="19" t="s">
        <v>450</v>
      </c>
    </row>
    <row r="27" customFormat="false" ht="15" hidden="false" customHeight="false" outlineLevel="0" collapsed="false">
      <c r="C27" s="9" t="s">
        <v>461</v>
      </c>
      <c r="D27" s="51" t="n">
        <f aca="false">-Rollup_Opex_UW</f>
        <v>37177884</v>
      </c>
      <c r="E27" s="37" t="n">
        <v>37177885</v>
      </c>
      <c r="F27" s="32" t="n">
        <f aca="false">D27-E27</f>
        <v>-1</v>
      </c>
      <c r="G27" s="17" t="n">
        <v>2</v>
      </c>
      <c r="H27" s="116" t="str">
        <f aca="false">IF(ABS(F27)&lt;=G27,"OK","CHECK")</f>
        <v>OK</v>
      </c>
      <c r="I27" s="19" t="s">
        <v>450</v>
      </c>
    </row>
    <row r="28" customFormat="false" ht="15" hidden="false" customHeight="false" outlineLevel="0" collapsed="false">
      <c r="C28" s="6" t="s">
        <v>462</v>
      </c>
      <c r="D28" s="49" t="n">
        <f aca="false">-Rollup_Opex_TTM</f>
        <v>37402601</v>
      </c>
      <c r="E28" s="28" t="n">
        <v>37402601</v>
      </c>
      <c r="F28" s="25" t="n">
        <f aca="false">D28-E28</f>
        <v>0</v>
      </c>
      <c r="G28" s="16" t="n">
        <v>2</v>
      </c>
      <c r="H28" s="58" t="str">
        <f aca="false">IF(ABS(F28)&lt;=G28,"OK","CHECK")</f>
        <v>OK</v>
      </c>
      <c r="I28" s="19" t="s">
        <v>450</v>
      </c>
    </row>
    <row r="29" customFormat="false" ht="15" hidden="false" customHeight="false" outlineLevel="0" collapsed="false">
      <c r="C29" s="9" t="s">
        <v>463</v>
      </c>
      <c r="D29" s="51" t="n">
        <f aca="false">SUM(Tape_GPR_UW)</f>
        <v>71385603.6</v>
      </c>
      <c r="E29" s="37" t="n">
        <v>71385604</v>
      </c>
      <c r="F29" s="32" t="n">
        <f aca="false">D29-E29</f>
        <v>-0.400000005960465</v>
      </c>
      <c r="G29" s="17" t="n">
        <v>1</v>
      </c>
      <c r="H29" s="116" t="str">
        <f aca="false">IF(ABS(F29)&lt;=G29,"OK","CHECK")</f>
        <v>OK</v>
      </c>
      <c r="I29" s="19" t="s">
        <v>438</v>
      </c>
    </row>
    <row r="30" customFormat="false" ht="15" hidden="false" customHeight="false" outlineLevel="0" collapsed="false">
      <c r="C30" s="6" t="s">
        <v>464</v>
      </c>
      <c r="D30" s="49" t="n">
        <f aca="false">SUM(Tape_Res_UW)</f>
        <v>1260480</v>
      </c>
      <c r="E30" s="28" t="n">
        <v>1260480</v>
      </c>
      <c r="F30" s="25" t="n">
        <f aca="false">D30-E30</f>
        <v>0</v>
      </c>
      <c r="G30" s="16" t="n">
        <v>0</v>
      </c>
      <c r="H30" s="58" t="str">
        <f aca="false">IF(ABS(F30)&lt;=G30,"OK","CHECK")</f>
        <v>OK</v>
      </c>
      <c r="I30" s="19" t="s">
        <v>450</v>
      </c>
    </row>
    <row r="31" customFormat="false" ht="15" hidden="false" customHeight="false" outlineLevel="0" collapsed="false">
      <c r="C31" s="9" t="s">
        <v>465</v>
      </c>
      <c r="D31" s="67" t="n">
        <f aca="false">LTV_Mtg_Appr</f>
        <v>0.72266139657444</v>
      </c>
      <c r="E31" s="33" t="n">
        <v>0.723</v>
      </c>
      <c r="F31" s="34" t="n">
        <f aca="false">D31-E31</f>
        <v>-0.000338603425559914</v>
      </c>
      <c r="G31" s="117" t="n">
        <v>0.0005</v>
      </c>
      <c r="H31" s="116" t="str">
        <f aca="false">IF(ABS(F31)&lt;=G31,"OK","CHECK")</f>
        <v>OK</v>
      </c>
      <c r="I31" s="19" t="s">
        <v>443</v>
      </c>
    </row>
    <row r="32" customFormat="false" ht="15" hidden="false" customHeight="false" outlineLevel="0" collapsed="false">
      <c r="C32" s="6" t="s">
        <v>466</v>
      </c>
      <c r="D32" s="62" t="n">
        <f aca="false">LTV_Tot_Appr</f>
        <v>0.788537549407115</v>
      </c>
      <c r="E32" s="39" t="n">
        <v>0.789</v>
      </c>
      <c r="F32" s="26" t="n">
        <f aca="false">D32-E32</f>
        <v>-0.000462450592885411</v>
      </c>
      <c r="G32" s="118" t="n">
        <v>0.0005</v>
      </c>
      <c r="H32" s="58" t="str">
        <f aca="false">IF(ABS(F32)&lt;=G32,"OK","CHECK")</f>
        <v>OK</v>
      </c>
      <c r="I32" s="19" t="s">
        <v>443</v>
      </c>
    </row>
    <row r="33" customFormat="false" ht="15" hidden="false" customHeight="false" outlineLevel="0" collapsed="false">
      <c r="C33" s="9" t="s">
        <v>467</v>
      </c>
      <c r="D33" s="68" t="n">
        <f aca="false">DY_Mtg_UW</f>
        <v>0.0751311139471285</v>
      </c>
      <c r="E33" s="12" t="n">
        <v>0.075</v>
      </c>
      <c r="F33" s="35" t="n">
        <f aca="false">D33-E33</f>
        <v>0.000131113947128531</v>
      </c>
      <c r="G33" s="117" t="n">
        <v>0.0005</v>
      </c>
      <c r="H33" s="116" t="str">
        <f aca="false">IF(ABS(F33)&lt;=G33,"OK","CHECK")</f>
        <v>OK</v>
      </c>
      <c r="I33" s="19" t="s">
        <v>443</v>
      </c>
    </row>
    <row r="34" customFormat="false" ht="15" hidden="false" customHeight="false" outlineLevel="0" collapsed="false">
      <c r="C34" s="6" t="s">
        <v>468</v>
      </c>
      <c r="D34" s="63" t="n">
        <f aca="false">DY_Mtg_NCF_UW</f>
        <v>0.072833064721969</v>
      </c>
      <c r="E34" s="8" t="n">
        <v>0.073</v>
      </c>
      <c r="F34" s="14" t="n">
        <f aca="false">D34-E34</f>
        <v>-0.000166935278030994</v>
      </c>
      <c r="G34" s="118" t="n">
        <v>0.0005</v>
      </c>
      <c r="H34" s="58" t="str">
        <f aca="false">IF(ABS(F34)&lt;=G34,"OK","CHECK")</f>
        <v>OK</v>
      </c>
      <c r="I34" s="19" t="s">
        <v>443</v>
      </c>
    </row>
    <row r="35" customFormat="false" ht="15" hidden="false" customHeight="false" outlineLevel="0" collapsed="false">
      <c r="C35" s="9" t="s">
        <v>469</v>
      </c>
      <c r="D35" s="68" t="n">
        <f aca="false">DY_Tot_UW</f>
        <v>0.0688544962406015</v>
      </c>
      <c r="E35" s="12" t="n">
        <v>0.069</v>
      </c>
      <c r="F35" s="35" t="n">
        <f aca="false">D35-E35</f>
        <v>-0.000145503759398508</v>
      </c>
      <c r="G35" s="117" t="n">
        <v>0.0005</v>
      </c>
      <c r="H35" s="116" t="str">
        <f aca="false">IF(ABS(F35)&lt;=G35,"OK","CHECK")</f>
        <v>OK</v>
      </c>
      <c r="I35" s="19" t="s">
        <v>443</v>
      </c>
    </row>
    <row r="36" customFormat="false" ht="15" hidden="false" customHeight="false" outlineLevel="0" collapsed="false">
      <c r="C36" s="6" t="s">
        <v>470</v>
      </c>
      <c r="D36" s="63" t="n">
        <f aca="false">DY_Tot_NCF_UW</f>
        <v>0.0667484310776942</v>
      </c>
      <c r="E36" s="8" t="n">
        <v>0.067</v>
      </c>
      <c r="F36" s="14" t="n">
        <f aca="false">D36-E36</f>
        <v>-0.000251568922305767</v>
      </c>
      <c r="G36" s="118" t="n">
        <v>0.0005</v>
      </c>
      <c r="H36" s="58" t="str">
        <f aca="false">IF(ABS(F36)&lt;=G36,"OK","CHECK")</f>
        <v>OK</v>
      </c>
      <c r="I36" s="19" t="s">
        <v>443</v>
      </c>
    </row>
    <row r="37" customFormat="false" ht="15" hidden="false" customHeight="false" outlineLevel="0" collapsed="false">
      <c r="C37" s="9" t="s">
        <v>471</v>
      </c>
      <c r="D37" s="119" t="n">
        <f aca="false">DSCR_Mtg_NOI_UW</f>
        <v>1.28917746355927</v>
      </c>
      <c r="E37" s="120" t="n">
        <v>1.29</v>
      </c>
      <c r="F37" s="55" t="n">
        <f aca="false">D37-E37</f>
        <v>-0.000822536440726163</v>
      </c>
      <c r="G37" s="117" t="n">
        <v>0.005</v>
      </c>
      <c r="H37" s="116" t="str">
        <f aca="false">IF(ABS(F37)&lt;=G37,"OK","CHECK")</f>
        <v>OK</v>
      </c>
      <c r="I37" s="19" t="s">
        <v>443</v>
      </c>
    </row>
    <row r="38" customFormat="false" ht="15" hidden="false" customHeight="false" outlineLevel="0" collapsed="false">
      <c r="C38" s="6" t="s">
        <v>472</v>
      </c>
      <c r="D38" s="121" t="n">
        <f aca="false">DSCR_Mtg_NCF_UW</f>
        <v>1.24974515495128</v>
      </c>
      <c r="E38" s="122" t="n">
        <v>1.25</v>
      </c>
      <c r="F38" s="54" t="n">
        <f aca="false">D38-E38</f>
        <v>-0.000254845048719865</v>
      </c>
      <c r="G38" s="118" t="n">
        <v>0.005</v>
      </c>
      <c r="H38" s="58" t="str">
        <f aca="false">IF(ABS(F38)&lt;=G38,"OK","CHECK")</f>
        <v>OK</v>
      </c>
      <c r="I38" s="19" t="s">
        <v>443</v>
      </c>
    </row>
    <row r="39" customFormat="false" ht="15" hidden="false" customHeight="false" outlineLevel="0" collapsed="false">
      <c r="C39" s="9" t="s">
        <v>473</v>
      </c>
      <c r="D39" s="119" t="n">
        <f aca="false">DSCR_Tot_NOI_UW</f>
        <v>1.09768674903153</v>
      </c>
      <c r="E39" s="120" t="n">
        <v>1.1</v>
      </c>
      <c r="F39" s="55" t="n">
        <f aca="false">D39-E39</f>
        <v>-0.00231325096846757</v>
      </c>
      <c r="G39" s="117" t="n">
        <v>0.005</v>
      </c>
      <c r="H39" s="116" t="str">
        <f aca="false">IF(ABS(F39)&lt;=G39,"OK","CHECK")</f>
        <v>OK</v>
      </c>
      <c r="I39" s="19" t="s">
        <v>443</v>
      </c>
    </row>
    <row r="40" customFormat="false" ht="15" hidden="false" customHeight="false" outlineLevel="0" collapsed="false">
      <c r="C40" s="6" t="s">
        <v>474</v>
      </c>
      <c r="D40" s="121" t="n">
        <f aca="false">DSCR_Tot_NCF_UW</f>
        <v>1.06411160219084</v>
      </c>
      <c r="E40" s="122" t="n">
        <v>1.06</v>
      </c>
      <c r="F40" s="54" t="n">
        <f aca="false">D40-E40</f>
        <v>0.00411160219083806</v>
      </c>
      <c r="G40" s="118" t="n">
        <v>0.005</v>
      </c>
      <c r="H40" s="58" t="str">
        <f aca="false">IF(ABS(F40)&lt;=G40,"OK","CHECK")</f>
        <v>OK</v>
      </c>
      <c r="I40" s="19" t="s">
        <v>443</v>
      </c>
    </row>
    <row r="41" customFormat="false" ht="15" hidden="false" customHeight="false" outlineLevel="0" collapsed="false">
      <c r="C41" s="9" t="s">
        <v>475</v>
      </c>
      <c r="D41" s="123" t="n">
        <f aca="false">Mortgage_WA_Spread</f>
        <v>0.02498</v>
      </c>
      <c r="E41" s="124" t="n">
        <v>0.025</v>
      </c>
      <c r="F41" s="125" t="n">
        <f aca="false">D41-E41</f>
        <v>-2.00000000000027E-005</v>
      </c>
      <c r="G41" s="117" t="n">
        <v>0.001</v>
      </c>
      <c r="H41" s="116" t="str">
        <f aca="false">IF(ABS(F41)&lt;=G41,"OK","CHECK")</f>
        <v>OK</v>
      </c>
      <c r="I41" s="19" t="s">
        <v>476</v>
      </c>
    </row>
    <row r="42" customFormat="false" ht="15" hidden="false" customHeight="false" outlineLevel="0" collapsed="false">
      <c r="C42" s="6" t="s">
        <v>477</v>
      </c>
      <c r="D42" s="49" t="n">
        <f aca="false">Debt_PU_Mtg</f>
        <v>113139.438943894</v>
      </c>
      <c r="E42" s="28" t="n">
        <v>113139</v>
      </c>
      <c r="F42" s="25" t="n">
        <f aca="false">D42-E42</f>
        <v>0.438943894390832</v>
      </c>
      <c r="G42" s="16" t="n">
        <v>1</v>
      </c>
      <c r="H42" s="58" t="str">
        <f aca="false">IF(ABS(F42)&lt;=G42,"OK","CHECK")</f>
        <v>OK</v>
      </c>
      <c r="I42" s="19" t="s">
        <v>443</v>
      </c>
    </row>
    <row r="43" customFormat="false" ht="15" hidden="false" customHeight="false" outlineLevel="0" collapsed="false">
      <c r="C43" s="9" t="s">
        <v>478</v>
      </c>
      <c r="D43" s="51" t="n">
        <f aca="false">Debt_PU_Tot</f>
        <v>123452.97029703</v>
      </c>
      <c r="E43" s="37" t="n">
        <v>123453</v>
      </c>
      <c r="F43" s="32" t="n">
        <f aca="false">D43-E43</f>
        <v>-0.0297029702924192</v>
      </c>
      <c r="G43" s="17" t="n">
        <v>1</v>
      </c>
      <c r="H43" s="116" t="str">
        <f aca="false">IF(ABS(F43)&lt;=G43,"OK","CHECK")</f>
        <v>OK</v>
      </c>
      <c r="I43" s="19" t="s">
        <v>443</v>
      </c>
    </row>
    <row r="44" customFormat="false" ht="15" hidden="false" customHeight="false" outlineLevel="0" collapsed="false">
      <c r="C44" s="6" t="s">
        <v>479</v>
      </c>
      <c r="D44" s="49" t="n">
        <f aca="false">SU_TotalSources</f>
        <v>618150000</v>
      </c>
      <c r="E44" s="28" t="n">
        <v>618150000</v>
      </c>
      <c r="F44" s="25" t="n">
        <f aca="false">D44-E44</f>
        <v>0</v>
      </c>
      <c r="G44" s="16" t="n">
        <v>0</v>
      </c>
      <c r="H44" s="58" t="str">
        <f aca="false">IF(ABS(F44)&lt;=G44,"OK","CHECK")</f>
        <v>OK</v>
      </c>
      <c r="I44" s="19" t="s">
        <v>443</v>
      </c>
    </row>
    <row r="45" customFormat="false" ht="15" hidden="false" customHeight="false" outlineLevel="0" collapsed="false">
      <c r="C45" s="9" t="s">
        <v>480</v>
      </c>
      <c r="D45" s="51" t="n">
        <f aca="false">SU_TotalUses</f>
        <v>618150000</v>
      </c>
      <c r="E45" s="37" t="n">
        <v>618150000</v>
      </c>
      <c r="F45" s="32" t="n">
        <f aca="false">D45-E45</f>
        <v>0</v>
      </c>
      <c r="G45" s="17" t="n">
        <v>0</v>
      </c>
      <c r="H45" s="116" t="str">
        <f aca="false">IF(ABS(F45)&lt;=G45,"OK","CHECK")</f>
        <v>OK</v>
      </c>
      <c r="I45" s="19" t="s">
        <v>443</v>
      </c>
    </row>
    <row r="46" customFormat="false" ht="15" hidden="false" customHeight="false" outlineLevel="0" collapsed="false">
      <c r="C46" s="6" t="s">
        <v>481</v>
      </c>
      <c r="D46" s="49" t="n">
        <f aca="false">Appraised_Value_Portfolio-TotalDebt_Total</f>
        <v>160500000</v>
      </c>
      <c r="E46" s="28" t="n">
        <v>160500000</v>
      </c>
      <c r="F46" s="25" t="n">
        <f aca="false">D46-E46</f>
        <v>0</v>
      </c>
      <c r="G46" s="16" t="n">
        <v>1</v>
      </c>
      <c r="H46" s="58" t="str">
        <f aca="false">IF(ABS(F46)&lt;=G46,"OK","CHECK")</f>
        <v>OK</v>
      </c>
      <c r="I46" s="19" t="s">
        <v>443</v>
      </c>
    </row>
    <row r="47" customFormat="false" ht="15" hidden="false" customHeight="false" outlineLevel="0" collapsed="false">
      <c r="C47" s="9" t="s">
        <v>482</v>
      </c>
      <c r="D47" s="51" t="n">
        <f aca="false">SU_EquityRemaining</f>
        <v>316200000</v>
      </c>
      <c r="E47" s="37" t="n">
        <v>316200000</v>
      </c>
      <c r="F47" s="32" t="n">
        <f aca="false">D47-E47</f>
        <v>0</v>
      </c>
      <c r="G47" s="17" t="n">
        <v>50000</v>
      </c>
      <c r="H47" s="116" t="str">
        <f aca="false">IF(ABS(F47)&lt;=G47,"OK","CHECK")</f>
        <v>OK</v>
      </c>
      <c r="I47" s="19" t="s">
        <v>483</v>
      </c>
    </row>
    <row r="48" customFormat="false" ht="15" hidden="false" customHeight="false" outlineLevel="0" collapsed="false">
      <c r="C48" s="6" t="s">
        <v>484</v>
      </c>
      <c r="D48" s="49" t="n">
        <f aca="false">Capex_Total</f>
        <v>52364235</v>
      </c>
      <c r="E48" s="28" t="n">
        <v>52364238</v>
      </c>
      <c r="F48" s="25" t="n">
        <f aca="false">D48-E48</f>
        <v>-3</v>
      </c>
      <c r="G48" s="16" t="n">
        <v>5</v>
      </c>
      <c r="H48" s="58" t="str">
        <f aca="false">IF(ABS(F48)&lt;=G48,"OK","CHECK")</f>
        <v>OK</v>
      </c>
      <c r="I48" s="19" t="s">
        <v>485</v>
      </c>
    </row>
    <row r="49" customFormat="false" ht="15" hidden="false" customHeight="false" outlineLevel="0" collapsed="false">
      <c r="C49" s="9" t="s">
        <v>486</v>
      </c>
      <c r="D49" s="66" t="n">
        <f aca="false">PO_OccUnits</f>
        <v>4440</v>
      </c>
      <c r="E49" s="17" t="n">
        <v>4440</v>
      </c>
      <c r="F49" s="36" t="n">
        <f aca="false">D49-E49</f>
        <v>0</v>
      </c>
      <c r="G49" s="17" t="n">
        <v>0</v>
      </c>
      <c r="H49" s="116" t="str">
        <f aca="false">IF(ABS(F49)&lt;=G49,"OK","CHECK")</f>
        <v>OK</v>
      </c>
      <c r="I49" s="19" t="s">
        <v>485</v>
      </c>
    </row>
    <row r="50" customFormat="false" ht="15" hidden="false" customHeight="false" outlineLevel="0" collapsed="false">
      <c r="C50" s="6" t="s">
        <v>487</v>
      </c>
      <c r="D50" s="62" t="n">
        <f aca="false">PO_Occ</f>
        <v>0.915841584158416</v>
      </c>
      <c r="E50" s="39" t="n">
        <v>0.916</v>
      </c>
      <c r="F50" s="26" t="n">
        <f aca="false">D50-E50</f>
        <v>-0.000158415841584159</v>
      </c>
      <c r="G50" s="118" t="n">
        <v>0.0005</v>
      </c>
      <c r="H50" s="58" t="str">
        <f aca="false">IF(ABS(F50)&lt;=G50,"OK","CHECK")</f>
        <v>OK</v>
      </c>
      <c r="I50" s="19" t="s">
        <v>438</v>
      </c>
    </row>
    <row r="51" customFormat="false" ht="15" hidden="false" customHeight="false" outlineLevel="0" collapsed="false">
      <c r="C51" s="9" t="s">
        <v>488</v>
      </c>
      <c r="D51" s="51" t="n">
        <f aca="false">PO_AvgRent</f>
        <v>1339.81988738739</v>
      </c>
      <c r="E51" s="37" t="n">
        <v>1340</v>
      </c>
      <c r="F51" s="32" t="n">
        <f aca="false">D51-E51</f>
        <v>-0.180112612612675</v>
      </c>
      <c r="G51" s="17" t="n">
        <v>1</v>
      </c>
      <c r="H51" s="116" t="str">
        <f aca="false">IF(ABS(F51)&lt;=G51,"OK","CHECK")</f>
        <v>OK</v>
      </c>
      <c r="I51" s="19" t="s">
        <v>438</v>
      </c>
    </row>
    <row r="52" customFormat="false" ht="15" hidden="false" customHeight="false" outlineLevel="0" collapsed="false">
      <c r="C52" s="6" t="s">
        <v>489</v>
      </c>
      <c r="D52" s="126" t="n">
        <f aca="false">PO_PSF</f>
        <v>1.73725075751869</v>
      </c>
      <c r="E52" s="127" t="n">
        <v>1.74</v>
      </c>
      <c r="F52" s="109" t="n">
        <f aca="false">D52-E52</f>
        <v>-0.00274924248130981</v>
      </c>
      <c r="G52" s="118" t="n">
        <v>0.01</v>
      </c>
      <c r="H52" s="58" t="str">
        <f aca="false">IF(ABS(F52)&lt;=G52,"OK","CHECK")</f>
        <v>OK</v>
      </c>
      <c r="I52" s="19" t="s">
        <v>438</v>
      </c>
    </row>
    <row r="53" customFormat="false" ht="15" hidden="false" customHeight="false" outlineLevel="0" collapsed="false">
      <c r="C53" s="9" t="s">
        <v>490</v>
      </c>
      <c r="D53" s="66" t="n">
        <f aca="false">PO_Units_TX</f>
        <v>2885</v>
      </c>
      <c r="E53" s="17" t="n">
        <v>2885</v>
      </c>
      <c r="F53" s="36" t="n">
        <f aca="false">D53-E53</f>
        <v>0</v>
      </c>
      <c r="G53" s="17" t="n">
        <v>0</v>
      </c>
      <c r="H53" s="116" t="str">
        <f aca="false">IF(ABS(F53)&lt;=G53,"OK","CHECK")</f>
        <v>OK</v>
      </c>
      <c r="I53" s="19" t="s">
        <v>491</v>
      </c>
    </row>
    <row r="54" customFormat="false" ht="15" hidden="false" customHeight="false" outlineLevel="0" collapsed="false">
      <c r="C54" s="6" t="s">
        <v>492</v>
      </c>
      <c r="D54" s="57" t="n">
        <f aca="false">PO_Units_AZ</f>
        <v>1623</v>
      </c>
      <c r="E54" s="16" t="n">
        <v>1623</v>
      </c>
      <c r="F54" s="27" t="n">
        <f aca="false">D54-E54</f>
        <v>0</v>
      </c>
      <c r="G54" s="16" t="n">
        <v>0</v>
      </c>
      <c r="H54" s="58" t="str">
        <f aca="false">IF(ABS(F54)&lt;=G54,"OK","CHECK")</f>
        <v>OK</v>
      </c>
      <c r="I54" s="19" t="s">
        <v>491</v>
      </c>
    </row>
    <row r="55" customFormat="false" ht="15" hidden="false" customHeight="false" outlineLevel="0" collapsed="false">
      <c r="C55" s="9" t="s">
        <v>493</v>
      </c>
      <c r="D55" s="66" t="n">
        <f aca="false">PO_Units_NC</f>
        <v>340</v>
      </c>
      <c r="E55" s="17" t="n">
        <v>340</v>
      </c>
      <c r="F55" s="36" t="n">
        <f aca="false">D55-E55</f>
        <v>0</v>
      </c>
      <c r="G55" s="17" t="n">
        <v>0</v>
      </c>
      <c r="H55" s="116" t="str">
        <f aca="false">IF(ABS(F55)&lt;=G55,"OK","CHECK")</f>
        <v>OK</v>
      </c>
      <c r="I55" s="19" t="s">
        <v>491</v>
      </c>
    </row>
    <row r="56" customFormat="false" ht="15" hidden="false" customHeight="false" outlineLevel="0" collapsed="false">
      <c r="C56" s="6" t="s">
        <v>494</v>
      </c>
      <c r="D56" s="49" t="n">
        <f aca="false">PO_Rent_TX</f>
        <v>40612365.36</v>
      </c>
      <c r="E56" s="28" t="n">
        <v>40612365</v>
      </c>
      <c r="F56" s="25" t="n">
        <f aca="false">D56-E56</f>
        <v>0.359999999403954</v>
      </c>
      <c r="G56" s="16" t="n">
        <v>2</v>
      </c>
      <c r="H56" s="58" t="str">
        <f aca="false">IF(ABS(F56)&lt;=G56,"OK","CHECK")</f>
        <v>OK</v>
      </c>
      <c r="I56" s="19" t="s">
        <v>491</v>
      </c>
    </row>
    <row r="57" customFormat="false" ht="15" hidden="false" customHeight="false" outlineLevel="0" collapsed="false">
      <c r="C57" s="9" t="s">
        <v>495</v>
      </c>
      <c r="D57" s="51" t="n">
        <f aca="false">PO_Rent_AZ</f>
        <v>25737930.24</v>
      </c>
      <c r="E57" s="37" t="n">
        <v>25737930</v>
      </c>
      <c r="F57" s="32" t="n">
        <f aca="false">D57-E57</f>
        <v>0.239999998360872</v>
      </c>
      <c r="G57" s="17" t="n">
        <v>2</v>
      </c>
      <c r="H57" s="116" t="str">
        <f aca="false">IF(ABS(F57)&lt;=G57,"OK","CHECK")</f>
        <v>OK</v>
      </c>
      <c r="I57" s="19" t="s">
        <v>491</v>
      </c>
    </row>
    <row r="58" customFormat="false" ht="15" hidden="false" customHeight="false" outlineLevel="0" collapsed="false">
      <c r="C58" s="6" t="s">
        <v>496</v>
      </c>
      <c r="D58" s="49" t="n">
        <f aca="false">PO_Rent_NC</f>
        <v>5035308</v>
      </c>
      <c r="E58" s="28" t="n">
        <v>5035308</v>
      </c>
      <c r="F58" s="25" t="n">
        <f aca="false">D58-E58</f>
        <v>0</v>
      </c>
      <c r="G58" s="16" t="n">
        <v>2</v>
      </c>
      <c r="H58" s="58" t="str">
        <f aca="false">IF(ABS(F58)&lt;=G58,"OK","CHECK")</f>
        <v>OK</v>
      </c>
      <c r="I58" s="19" t="s">
        <v>491</v>
      </c>
    </row>
    <row r="59" customFormat="false" ht="15" hidden="false" customHeight="false" outlineLevel="0" collapsed="false">
      <c r="C59" s="9" t="s">
        <v>497</v>
      </c>
      <c r="D59" s="51" t="n">
        <f aca="false">PO_Rent_GSO</f>
        <v>3559800</v>
      </c>
      <c r="E59" s="37" t="n">
        <v>3559800</v>
      </c>
      <c r="F59" s="32" t="n">
        <f aca="false">D59-E59</f>
        <v>0</v>
      </c>
      <c r="G59" s="17" t="n">
        <v>2</v>
      </c>
      <c r="H59" s="116" t="str">
        <f aca="false">IF(ABS(F59)&lt;=G59,"OK","CHECK")</f>
        <v>OK</v>
      </c>
      <c r="I59" s="19" t="s">
        <v>491</v>
      </c>
    </row>
    <row r="60" customFormat="false" ht="15" hidden="false" customHeight="false" outlineLevel="0" collapsed="false">
      <c r="C60" s="6" t="s">
        <v>498</v>
      </c>
      <c r="D60" s="49" t="n">
        <f aca="false">PO_Rent_CLT</f>
        <v>1475508</v>
      </c>
      <c r="E60" s="28" t="n">
        <v>1475508</v>
      </c>
      <c r="F60" s="25" t="n">
        <f aca="false">D60-E60</f>
        <v>0</v>
      </c>
      <c r="G60" s="16" t="n">
        <v>2</v>
      </c>
      <c r="H60" s="58" t="str">
        <f aca="false">IF(ABS(F60)&lt;=G60,"OK","CHECK")</f>
        <v>OK</v>
      </c>
      <c r="I60" s="19" t="s">
        <v>491</v>
      </c>
    </row>
    <row r="61" customFormat="false" ht="15" hidden="false" customHeight="false" outlineLevel="0" collapsed="false">
      <c r="C61" s="9" t="s">
        <v>499</v>
      </c>
      <c r="D61" s="51" t="n">
        <f aca="false">PO_ALA_TX</f>
        <v>294200000</v>
      </c>
      <c r="E61" s="37" t="n">
        <v>294200000</v>
      </c>
      <c r="F61" s="32" t="n">
        <f aca="false">D61-E61</f>
        <v>0</v>
      </c>
      <c r="G61" s="17" t="n">
        <v>0</v>
      </c>
      <c r="H61" s="116" t="str">
        <f aca="false">IF(ABS(F61)&lt;=G61,"OK","CHECK")</f>
        <v>OK</v>
      </c>
      <c r="I61" s="19" t="s">
        <v>491</v>
      </c>
    </row>
    <row r="62" customFormat="false" ht="15" hidden="false" customHeight="false" outlineLevel="0" collapsed="false">
      <c r="C62" s="6" t="s">
        <v>500</v>
      </c>
      <c r="D62" s="49" t="n">
        <f aca="false">PO_ALA_AZ</f>
        <v>256500000</v>
      </c>
      <c r="E62" s="28" t="n">
        <v>256500000</v>
      </c>
      <c r="F62" s="25" t="n">
        <f aca="false">D62-E62</f>
        <v>0</v>
      </c>
      <c r="G62" s="16" t="n">
        <v>0</v>
      </c>
      <c r="H62" s="58" t="str">
        <f aca="false">IF(ABS(F62)&lt;=G62,"OK","CHECK")</f>
        <v>OK</v>
      </c>
      <c r="I62" s="19" t="s">
        <v>491</v>
      </c>
    </row>
    <row r="63" customFormat="false" ht="15" hidden="false" customHeight="false" outlineLevel="0" collapsed="false">
      <c r="C63" s="9" t="s">
        <v>501</v>
      </c>
      <c r="D63" s="51" t="n">
        <f aca="false">PO_ALA_NC</f>
        <v>47800000</v>
      </c>
      <c r="E63" s="37" t="n">
        <v>47800000</v>
      </c>
      <c r="F63" s="32" t="n">
        <f aca="false">D63-E63</f>
        <v>0</v>
      </c>
      <c r="G63" s="17" t="n">
        <v>0</v>
      </c>
      <c r="H63" s="116" t="str">
        <f aca="false">IF(ABS(F63)&lt;=G63,"OK","CHECK")</f>
        <v>OK</v>
      </c>
      <c r="I63" s="19" t="s">
        <v>491</v>
      </c>
    </row>
    <row r="64" customFormat="false" ht="15" hidden="false" customHeight="false" outlineLevel="0" collapsed="false">
      <c r="C64" s="6" t="s">
        <v>502</v>
      </c>
      <c r="D64" s="62" t="n">
        <f aca="false">Rollup_EconOcc_UW</f>
        <v>0.913537927582938</v>
      </c>
      <c r="E64" s="39" t="n">
        <v>0.914</v>
      </c>
      <c r="F64" s="26" t="n">
        <f aca="false">D64-E64</f>
        <v>-0.000462072417062309</v>
      </c>
      <c r="G64" s="118" t="n">
        <v>0.0006</v>
      </c>
      <c r="H64" s="58" t="str">
        <f aca="false">IF(ABS(F64)&lt;=G64,"OK","CHECK")</f>
        <v>OK</v>
      </c>
      <c r="I64" s="19" t="s">
        <v>503</v>
      </c>
    </row>
    <row r="65" customFormat="false" ht="15" hidden="false" customHeight="false" outlineLevel="0" collapsed="false">
      <c r="C65" s="9" t="s">
        <v>504</v>
      </c>
      <c r="D65" s="67" t="n">
        <f aca="false">Rollup_EconOcc_TTM</f>
        <v>0.900615598847611</v>
      </c>
      <c r="E65" s="33" t="n">
        <v>0.901</v>
      </c>
      <c r="F65" s="34" t="n">
        <f aca="false">D65-E65</f>
        <v>-0.000384401152388802</v>
      </c>
      <c r="G65" s="117" t="n">
        <v>0.0006</v>
      </c>
      <c r="H65" s="116" t="str">
        <f aca="false">IF(ABS(F65)&lt;=G65,"OK","CHECK")</f>
        <v>OK</v>
      </c>
      <c r="I65" s="19" t="s">
        <v>503</v>
      </c>
    </row>
    <row r="66" customFormat="false" ht="15" hidden="false" customHeight="false" outlineLevel="0" collapsed="false">
      <c r="C66" s="6" t="s">
        <v>505</v>
      </c>
      <c r="D66" s="62" t="n">
        <f aca="false">PhysOcc_UW_Wtd</f>
        <v>0.915881188118812</v>
      </c>
      <c r="E66" s="39" t="n">
        <v>0.916</v>
      </c>
      <c r="F66" s="26" t="n">
        <f aca="false">D66-E66</f>
        <v>-0.000118811881188119</v>
      </c>
      <c r="G66" s="118" t="n">
        <v>0.0006</v>
      </c>
      <c r="H66" s="58" t="str">
        <f aca="false">IF(ABS(F66)&lt;=G66,"OK","CHECK")</f>
        <v>OK</v>
      </c>
      <c r="I66" s="19" t="s">
        <v>506</v>
      </c>
    </row>
    <row r="67" customFormat="false" ht="15" hidden="false" customHeight="false" outlineLevel="0" collapsed="false">
      <c r="C67" s="9" t="s">
        <v>507</v>
      </c>
      <c r="D67" s="51" t="n">
        <f aca="false">Bridge_Chk_UW</f>
        <v>0</v>
      </c>
      <c r="E67" s="37" t="n">
        <v>0</v>
      </c>
      <c r="F67" s="32" t="n">
        <f aca="false">D67-E67</f>
        <v>0</v>
      </c>
      <c r="G67" s="17" t="n">
        <v>1</v>
      </c>
      <c r="H67" s="116" t="str">
        <f aca="false">IF(ABS(F67)&lt;=G67,"OK","CHECK")</f>
        <v>OK</v>
      </c>
      <c r="I67" s="19" t="s">
        <v>508</v>
      </c>
    </row>
    <row r="68" customFormat="false" ht="15" hidden="false" customHeight="false" outlineLevel="0" collapsed="false">
      <c r="C68" s="6" t="s">
        <v>509</v>
      </c>
      <c r="D68" s="49" t="n">
        <f aca="false">Bridge_Chk_SSP</f>
        <v>0</v>
      </c>
      <c r="E68" s="28" t="n">
        <v>0</v>
      </c>
      <c r="F68" s="25" t="n">
        <f aca="false">D68-E68</f>
        <v>0</v>
      </c>
      <c r="G68" s="16" t="n">
        <v>1</v>
      </c>
      <c r="H68" s="58" t="str">
        <f aca="false">IF(ABS(F68)&lt;=G68,"OK","CHECK")</f>
        <v>OK</v>
      </c>
      <c r="I68" s="19" t="s">
        <v>508</v>
      </c>
    </row>
  </sheetData>
  <conditionalFormatting sqref="D3">
    <cfRule type="expression" priority="2" aboveAverage="0" equalAverage="0" bottom="0" percent="0" rank="0" text="" dxfId="1">
      <formula>D3="OK"</formula>
    </cfRule>
    <cfRule type="expression" priority="3" aboveAverage="0" equalAverage="0" bottom="0" percent="0" rank="0" text="" dxfId="0">
      <formula>D3="CHECK"</formula>
    </cfRule>
  </conditionalFormatting>
  <conditionalFormatting sqref="H6:H69">
    <cfRule type="expression" priority="4" aboveAverage="0" equalAverage="0" bottom="0" percent="0" rank="0" text="" dxfId="1">
      <formula>H6="OK"</formula>
    </cfRule>
    <cfRule type="expression" priority="5" aboveAverage="0" equalAverage="0" bottom="0" percent="0" rank="0" text="" dxfId="0">
      <formula>H6="CHECK"</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&amp;L&amp;7 &amp;K9aa0a8CONFIDENTIAL&amp;R&amp;7 &amp;K9aa0a8&amp;P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AI39"/>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13"/>
    <col collapsed="false" customWidth="true" hidden="false" outlineLevel="0" max="4" min="4" style="0" width="7"/>
    <col collapsed="false" customWidth="true" hidden="false" outlineLevel="0" max="5" min="5" style="0" width="17"/>
    <col collapsed="false" customWidth="true" hidden="false" outlineLevel="0" max="6" min="6" style="0" width="9"/>
    <col collapsed="false" customWidth="true" hidden="false" outlineLevel="0" max="7" min="7" style="0" width="11"/>
    <col collapsed="false" customWidth="true" hidden="false" outlineLevel="0" max="8" min="8" style="0" width="8"/>
    <col collapsed="false" customWidth="true" hidden="false" outlineLevel="0" max="9" min="9" style="0" width="9"/>
    <col collapsed="false" customWidth="true" hidden="false" outlineLevel="0" max="11" min="10" style="0" width="10"/>
    <col collapsed="false" customWidth="true" hidden="false" outlineLevel="0" max="12" min="12" style="0" width="26"/>
    <col collapsed="false" customWidth="true" hidden="false" outlineLevel="0" max="13" min="13" style="0" width="12"/>
    <col collapsed="false" customWidth="true" hidden="false" outlineLevel="0" max="35" min="14" style="0" width="14"/>
  </cols>
  <sheetData>
    <row r="1" customFormat="false" ht="15" hidden="false" customHeight="false" outlineLevel="0" collapsed="false">
      <c r="B1" s="1" t="s">
        <v>510</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row>
    <row r="2" customFormat="false" ht="15" hidden="false" customHeight="false" outlineLevel="0" collapsed="false">
      <c r="B2" s="19" t="s">
        <v>511</v>
      </c>
    </row>
    <row r="5" customFormat="false" ht="42" hidden="false" customHeight="true" outlineLevel="0" collapsed="false">
      <c r="A5" s="22" t="s">
        <v>512</v>
      </c>
      <c r="B5" s="22" t="s">
        <v>394</v>
      </c>
      <c r="C5" s="22" t="s">
        <v>513</v>
      </c>
      <c r="D5" s="22" t="s">
        <v>409</v>
      </c>
      <c r="E5" s="22" t="s">
        <v>165</v>
      </c>
      <c r="F5" s="22" t="s">
        <v>396</v>
      </c>
      <c r="G5" s="22" t="s">
        <v>514</v>
      </c>
      <c r="H5" s="22" t="s">
        <v>41</v>
      </c>
      <c r="I5" s="22" t="s">
        <v>401</v>
      </c>
      <c r="J5" s="22" t="s">
        <v>515</v>
      </c>
      <c r="K5" s="22" t="s">
        <v>399</v>
      </c>
      <c r="L5" s="22" t="s">
        <v>516</v>
      </c>
      <c r="M5" s="22" t="s">
        <v>517</v>
      </c>
      <c r="N5" s="22" t="s">
        <v>518</v>
      </c>
      <c r="O5" s="22" t="s">
        <v>519</v>
      </c>
      <c r="P5" s="22" t="s">
        <v>212</v>
      </c>
      <c r="Q5" s="22" t="s">
        <v>520</v>
      </c>
      <c r="R5" s="22" t="s">
        <v>208</v>
      </c>
      <c r="S5" s="22" t="s">
        <v>521</v>
      </c>
      <c r="T5" s="22" t="s">
        <v>176</v>
      </c>
      <c r="U5" s="22" t="s">
        <v>522</v>
      </c>
      <c r="V5" s="22" t="s">
        <v>523</v>
      </c>
      <c r="W5" s="22" t="s">
        <v>524</v>
      </c>
      <c r="X5" s="22" t="s">
        <v>525</v>
      </c>
      <c r="Y5" s="22" t="s">
        <v>526</v>
      </c>
      <c r="Z5" s="22" t="s">
        <v>527</v>
      </c>
      <c r="AA5" s="22" t="s">
        <v>528</v>
      </c>
      <c r="AB5" s="22" t="s">
        <v>529</v>
      </c>
      <c r="AC5" s="22" t="s">
        <v>43</v>
      </c>
      <c r="AD5" s="22" t="s">
        <v>530</v>
      </c>
      <c r="AE5" s="22" t="s">
        <v>188</v>
      </c>
      <c r="AF5" s="22" t="s">
        <v>531</v>
      </c>
      <c r="AG5" s="22" t="s">
        <v>532</v>
      </c>
      <c r="AH5" s="22" t="s">
        <v>533</v>
      </c>
      <c r="AI5" s="22" t="s">
        <v>534</v>
      </c>
    </row>
    <row r="6" customFormat="false" ht="15" hidden="false" customHeight="false" outlineLevel="0" collapsed="false">
      <c r="A6" s="60" t="n">
        <v>1.01</v>
      </c>
      <c r="B6" s="113" t="s">
        <v>535</v>
      </c>
      <c r="C6" s="113" t="s">
        <v>536</v>
      </c>
      <c r="D6" s="113" t="s">
        <v>414</v>
      </c>
      <c r="E6" s="113" t="s">
        <v>418</v>
      </c>
      <c r="F6" s="128" t="n">
        <v>1986</v>
      </c>
      <c r="G6" s="24" t="s">
        <v>537</v>
      </c>
      <c r="H6" s="16" t="n">
        <v>288</v>
      </c>
      <c r="I6" s="16" t="n">
        <v>673</v>
      </c>
      <c r="J6" s="39" t="n">
        <v>0.892</v>
      </c>
      <c r="K6" s="16" t="n">
        <v>4</v>
      </c>
      <c r="L6" s="113" t="s">
        <v>538</v>
      </c>
      <c r="M6" s="129" t="n">
        <v>44682</v>
      </c>
      <c r="N6" s="28" t="n">
        <v>45000000</v>
      </c>
      <c r="O6" s="28" t="n">
        <v>4100000</v>
      </c>
      <c r="P6" s="28" t="n">
        <v>49100000</v>
      </c>
      <c r="Q6" s="28" t="n">
        <v>410000</v>
      </c>
      <c r="R6" s="28" t="n">
        <v>60200000</v>
      </c>
      <c r="S6" s="130" t="n">
        <v>46254</v>
      </c>
      <c r="T6" s="8" t="n">
        <v>0.055</v>
      </c>
      <c r="U6" s="28" t="n">
        <v>4898163.67</v>
      </c>
      <c r="V6" s="28" t="n">
        <v>1530757.67</v>
      </c>
      <c r="W6" s="25" t="n">
        <f aca="false">U6-V6</f>
        <v>3367406</v>
      </c>
      <c r="X6" s="28" t="n">
        <v>4851940.52</v>
      </c>
      <c r="Y6" s="28" t="n">
        <v>1536072.42</v>
      </c>
      <c r="Z6" s="25" t="n">
        <f aca="false">X6-Y6</f>
        <v>3315868.1</v>
      </c>
      <c r="AA6" s="28" t="n">
        <v>4723296.83</v>
      </c>
      <c r="AB6" s="28" t="n">
        <v>1528440.8866</v>
      </c>
      <c r="AC6" s="25" t="n">
        <f aca="false">AA6-AB6</f>
        <v>3194855.9434</v>
      </c>
      <c r="AD6" s="28" t="n">
        <v>4643700.48369281</v>
      </c>
      <c r="AE6" s="28" t="n">
        <v>4611682.8</v>
      </c>
      <c r="AF6" s="28" t="n">
        <v>1534571.10974886</v>
      </c>
      <c r="AG6" s="25" t="n">
        <f aca="false">AD6-AF6</f>
        <v>3109129.37394395</v>
      </c>
      <c r="AH6" s="28" t="n">
        <v>74880</v>
      </c>
      <c r="AI6" s="25" t="n">
        <f aca="false">AG6-AH6</f>
        <v>3034249.37394395</v>
      </c>
    </row>
    <row r="7" customFormat="false" ht="15" hidden="false" customHeight="false" outlineLevel="0" collapsed="false">
      <c r="A7" s="131" t="n">
        <v>1.02</v>
      </c>
      <c r="B7" s="114" t="s">
        <v>539</v>
      </c>
      <c r="C7" s="114" t="s">
        <v>540</v>
      </c>
      <c r="D7" s="114" t="s">
        <v>413</v>
      </c>
      <c r="E7" s="114" t="s">
        <v>417</v>
      </c>
      <c r="F7" s="132" t="n">
        <v>1982</v>
      </c>
      <c r="G7" s="31" t="s">
        <v>537</v>
      </c>
      <c r="H7" s="17" t="n">
        <v>360</v>
      </c>
      <c r="I7" s="17" t="n">
        <v>697</v>
      </c>
      <c r="J7" s="33" t="n">
        <v>0.936</v>
      </c>
      <c r="K7" s="17" t="n">
        <v>0</v>
      </c>
      <c r="L7" s="114" t="s">
        <v>541</v>
      </c>
      <c r="M7" s="133" t="n">
        <v>45017</v>
      </c>
      <c r="N7" s="37" t="n">
        <v>35650000</v>
      </c>
      <c r="O7" s="37" t="n">
        <v>3250000</v>
      </c>
      <c r="P7" s="37" t="n">
        <v>38900000</v>
      </c>
      <c r="Q7" s="37" t="n">
        <v>325000</v>
      </c>
      <c r="R7" s="37" t="n">
        <v>44500000</v>
      </c>
      <c r="S7" s="134" t="n">
        <v>46254</v>
      </c>
      <c r="T7" s="12" t="n">
        <v>0.0625</v>
      </c>
      <c r="U7" s="37" t="n">
        <v>5482392.76</v>
      </c>
      <c r="V7" s="37" t="n">
        <v>2738924.77</v>
      </c>
      <c r="W7" s="32" t="n">
        <f aca="false">U7-V7</f>
        <v>2743467.99</v>
      </c>
      <c r="X7" s="37" t="n">
        <v>5372835.6</v>
      </c>
      <c r="Y7" s="37" t="n">
        <v>2946155.59</v>
      </c>
      <c r="Z7" s="32" t="n">
        <f aca="false">X7-Y7</f>
        <v>2426680.01</v>
      </c>
      <c r="AA7" s="37" t="n">
        <v>5565639.02</v>
      </c>
      <c r="AB7" s="37" t="n">
        <v>2986393.2904</v>
      </c>
      <c r="AC7" s="32" t="n">
        <f aca="false">AA7-AB7</f>
        <v>2579245.7296</v>
      </c>
      <c r="AD7" s="37" t="n">
        <v>5726832.26502796</v>
      </c>
      <c r="AE7" s="37" t="n">
        <v>4880868</v>
      </c>
      <c r="AF7" s="37" t="n">
        <v>2866586.94167349</v>
      </c>
      <c r="AG7" s="32" t="n">
        <f aca="false">AD7-AF7</f>
        <v>2860245.32335448</v>
      </c>
      <c r="AH7" s="37" t="n">
        <v>93600</v>
      </c>
      <c r="AI7" s="32" t="n">
        <f aca="false">AG7-AH7</f>
        <v>2766645.32335448</v>
      </c>
    </row>
    <row r="8" customFormat="false" ht="15" hidden="false" customHeight="false" outlineLevel="0" collapsed="false">
      <c r="A8" s="60" t="n">
        <v>1.03</v>
      </c>
      <c r="B8" s="113" t="s">
        <v>542</v>
      </c>
      <c r="C8" s="113" t="s">
        <v>543</v>
      </c>
      <c r="D8" s="113" t="s">
        <v>413</v>
      </c>
      <c r="E8" s="113" t="s">
        <v>417</v>
      </c>
      <c r="F8" s="128" t="n">
        <v>2001</v>
      </c>
      <c r="G8" s="24" t="s">
        <v>537</v>
      </c>
      <c r="H8" s="16" t="n">
        <v>228</v>
      </c>
      <c r="I8" s="16" t="n">
        <v>868</v>
      </c>
      <c r="J8" s="39" t="n">
        <v>0.952</v>
      </c>
      <c r="K8" s="16" t="n">
        <v>2</v>
      </c>
      <c r="L8" s="113" t="s">
        <v>541</v>
      </c>
      <c r="M8" s="129" t="n">
        <v>45139</v>
      </c>
      <c r="N8" s="28" t="n">
        <v>31250000</v>
      </c>
      <c r="O8" s="28" t="n">
        <v>2850000</v>
      </c>
      <c r="P8" s="28" t="n">
        <v>34100000</v>
      </c>
      <c r="Q8" s="28" t="n">
        <v>285000</v>
      </c>
      <c r="R8" s="28" t="n">
        <v>39700000</v>
      </c>
      <c r="S8" s="130" t="n">
        <v>46254</v>
      </c>
      <c r="T8" s="8" t="n">
        <v>0.055</v>
      </c>
      <c r="U8" s="28" t="n">
        <v>4097422.52</v>
      </c>
      <c r="V8" s="28" t="n">
        <v>2240222.83</v>
      </c>
      <c r="W8" s="25" t="n">
        <f aca="false">U8-V8</f>
        <v>1857199.69</v>
      </c>
      <c r="X8" s="28" t="n">
        <v>4006838.91</v>
      </c>
      <c r="Y8" s="28" t="n">
        <v>2379571.64</v>
      </c>
      <c r="Z8" s="25" t="n">
        <f aca="false">X8-Y8</f>
        <v>1627267.27</v>
      </c>
      <c r="AA8" s="28" t="n">
        <v>4137693.64</v>
      </c>
      <c r="AB8" s="28" t="n">
        <v>2288065.0128</v>
      </c>
      <c r="AC8" s="25" t="n">
        <f aca="false">AA8-AB8</f>
        <v>1849628.6272</v>
      </c>
      <c r="AD8" s="28" t="n">
        <v>4556732.26573966</v>
      </c>
      <c r="AE8" s="28" t="n">
        <v>4032251.64</v>
      </c>
      <c r="AF8" s="28" t="n">
        <v>2204600.1380352</v>
      </c>
      <c r="AG8" s="25" t="n">
        <f aca="false">AD8-AF8</f>
        <v>2352132.12770446</v>
      </c>
      <c r="AH8" s="28" t="n">
        <v>59280</v>
      </c>
      <c r="AI8" s="25" t="n">
        <f aca="false">AG8-AH8</f>
        <v>2292852.12770446</v>
      </c>
    </row>
    <row r="9" customFormat="false" ht="15" hidden="false" customHeight="false" outlineLevel="0" collapsed="false">
      <c r="A9" s="131" t="n">
        <v>1.04</v>
      </c>
      <c r="B9" s="114" t="s">
        <v>544</v>
      </c>
      <c r="C9" s="114" t="s">
        <v>419</v>
      </c>
      <c r="D9" s="114" t="s">
        <v>415</v>
      </c>
      <c r="E9" s="114" t="s">
        <v>419</v>
      </c>
      <c r="F9" s="132" t="n">
        <v>1989</v>
      </c>
      <c r="G9" s="31" t="s">
        <v>545</v>
      </c>
      <c r="H9" s="17" t="n">
        <v>240</v>
      </c>
      <c r="I9" s="17" t="n">
        <v>1047</v>
      </c>
      <c r="J9" s="33" t="n">
        <v>0.925</v>
      </c>
      <c r="K9" s="17" t="n">
        <v>0</v>
      </c>
      <c r="L9" s="114" t="s">
        <v>541</v>
      </c>
      <c r="M9" s="133" t="n">
        <v>45627</v>
      </c>
      <c r="N9" s="37" t="n">
        <v>30520000</v>
      </c>
      <c r="O9" s="37" t="n">
        <v>2780000</v>
      </c>
      <c r="P9" s="37" t="n">
        <v>33300000</v>
      </c>
      <c r="Q9" s="37" t="n">
        <v>278000</v>
      </c>
      <c r="R9" s="37" t="n">
        <v>41400000</v>
      </c>
      <c r="S9" s="134" t="n">
        <v>46253</v>
      </c>
      <c r="T9" s="12" t="n">
        <v>0.055</v>
      </c>
      <c r="U9" s="37" t="n">
        <v>-1647.16</v>
      </c>
      <c r="V9" s="37" t="n">
        <v>2865.72</v>
      </c>
      <c r="W9" s="32" t="n">
        <f aca="false">U9-V9</f>
        <v>-4512.88</v>
      </c>
      <c r="X9" s="37" t="n">
        <v>3491673.32</v>
      </c>
      <c r="Y9" s="37" t="n">
        <v>1551882.63</v>
      </c>
      <c r="Z9" s="32" t="n">
        <f aca="false">X9-Y9</f>
        <v>1939790.69</v>
      </c>
      <c r="AA9" s="37" t="n">
        <v>3625290.53</v>
      </c>
      <c r="AB9" s="37" t="n">
        <v>1610692.0106</v>
      </c>
      <c r="AC9" s="32" t="n">
        <f aca="false">AA9-AB9</f>
        <v>2014598.5194</v>
      </c>
      <c r="AD9" s="37" t="n">
        <v>3694121.53996747</v>
      </c>
      <c r="AE9" s="37" t="n">
        <v>3559800</v>
      </c>
      <c r="AF9" s="37" t="n">
        <v>1621879.37349435</v>
      </c>
      <c r="AG9" s="32" t="n">
        <f aca="false">AD9-AF9</f>
        <v>2072242.16647312</v>
      </c>
      <c r="AH9" s="37" t="n">
        <v>62400</v>
      </c>
      <c r="AI9" s="32" t="n">
        <f aca="false">AG9-AH9</f>
        <v>2009842.16647312</v>
      </c>
    </row>
    <row r="10" customFormat="false" ht="15" hidden="false" customHeight="false" outlineLevel="0" collapsed="false">
      <c r="A10" s="60" t="n">
        <v>1.05</v>
      </c>
      <c r="B10" s="113" t="s">
        <v>546</v>
      </c>
      <c r="C10" s="113" t="s">
        <v>547</v>
      </c>
      <c r="D10" s="113" t="s">
        <v>414</v>
      </c>
      <c r="E10" s="113" t="s">
        <v>418</v>
      </c>
      <c r="F10" s="128" t="n">
        <v>1988</v>
      </c>
      <c r="G10" s="24" t="s">
        <v>548</v>
      </c>
      <c r="H10" s="16" t="n">
        <v>160</v>
      </c>
      <c r="I10" s="16" t="n">
        <v>825</v>
      </c>
      <c r="J10" s="39" t="n">
        <v>0.944</v>
      </c>
      <c r="K10" s="16" t="n">
        <v>4</v>
      </c>
      <c r="L10" s="113" t="s">
        <v>538</v>
      </c>
      <c r="M10" s="129" t="n">
        <v>44866</v>
      </c>
      <c r="N10" s="28" t="n">
        <v>29880000</v>
      </c>
      <c r="O10" s="28" t="n">
        <v>2720000</v>
      </c>
      <c r="P10" s="28" t="n">
        <v>32600000</v>
      </c>
      <c r="Q10" s="28" t="n">
        <v>272000</v>
      </c>
      <c r="R10" s="28" t="n">
        <v>37600000</v>
      </c>
      <c r="S10" s="130" t="n">
        <v>46254</v>
      </c>
      <c r="T10" s="8" t="n">
        <v>0.055</v>
      </c>
      <c r="U10" s="28" t="n">
        <v>2993645.4</v>
      </c>
      <c r="V10" s="28" t="n">
        <v>901275.31</v>
      </c>
      <c r="W10" s="25" t="n">
        <f aca="false">U10-V10</f>
        <v>2092370.09</v>
      </c>
      <c r="X10" s="28" t="n">
        <v>2949325.43</v>
      </c>
      <c r="Y10" s="28" t="n">
        <v>936825.07</v>
      </c>
      <c r="Z10" s="25" t="n">
        <f aca="false">X10-Y10</f>
        <v>2012500.36</v>
      </c>
      <c r="AA10" s="28" t="n">
        <v>2959201.35</v>
      </c>
      <c r="AB10" s="28" t="n">
        <v>994431.237</v>
      </c>
      <c r="AC10" s="25" t="n">
        <f aca="false">AA10-AB10</f>
        <v>1964770.113</v>
      </c>
      <c r="AD10" s="28" t="n">
        <v>3091456.37299745</v>
      </c>
      <c r="AE10" s="28" t="n">
        <v>2880360</v>
      </c>
      <c r="AF10" s="28" t="n">
        <v>998534.713159949</v>
      </c>
      <c r="AG10" s="25" t="n">
        <f aca="false">AD10-AF10</f>
        <v>2092921.6598375</v>
      </c>
      <c r="AH10" s="28" t="n">
        <v>41600</v>
      </c>
      <c r="AI10" s="25" t="n">
        <f aca="false">AG10-AH10</f>
        <v>2051321.6598375</v>
      </c>
    </row>
    <row r="11" customFormat="false" ht="15" hidden="false" customHeight="false" outlineLevel="0" collapsed="false">
      <c r="A11" s="131" t="n">
        <v>1.06</v>
      </c>
      <c r="B11" s="114" t="s">
        <v>549</v>
      </c>
      <c r="C11" s="114" t="s">
        <v>418</v>
      </c>
      <c r="D11" s="114" t="s">
        <v>414</v>
      </c>
      <c r="E11" s="114" t="s">
        <v>418</v>
      </c>
      <c r="F11" s="132" t="n">
        <v>1984</v>
      </c>
      <c r="G11" s="31" t="s">
        <v>537</v>
      </c>
      <c r="H11" s="17" t="n">
        <v>186</v>
      </c>
      <c r="I11" s="17" t="n">
        <v>830</v>
      </c>
      <c r="J11" s="33" t="n">
        <v>0.946</v>
      </c>
      <c r="K11" s="17" t="n">
        <v>7</v>
      </c>
      <c r="L11" s="114" t="s">
        <v>538</v>
      </c>
      <c r="M11" s="133" t="n">
        <v>44986</v>
      </c>
      <c r="N11" s="37" t="n">
        <v>29240000</v>
      </c>
      <c r="O11" s="37" t="n">
        <v>2660000</v>
      </c>
      <c r="P11" s="37" t="n">
        <v>31900000</v>
      </c>
      <c r="Q11" s="37" t="n">
        <v>266000</v>
      </c>
      <c r="R11" s="37" t="n">
        <v>37600000</v>
      </c>
      <c r="S11" s="134" t="n">
        <v>46255</v>
      </c>
      <c r="T11" s="12" t="n">
        <v>0.055</v>
      </c>
      <c r="U11" s="37" t="n">
        <v>3187283.91</v>
      </c>
      <c r="V11" s="37" t="n">
        <v>1004850.02</v>
      </c>
      <c r="W11" s="32" t="n">
        <f aca="false">U11-V11</f>
        <v>2182433.89</v>
      </c>
      <c r="X11" s="37" t="n">
        <v>3199070.88</v>
      </c>
      <c r="Y11" s="37" t="n">
        <v>1076548.59</v>
      </c>
      <c r="Z11" s="32" t="n">
        <f aca="false">X11-Y11</f>
        <v>2122522.29</v>
      </c>
      <c r="AA11" s="37" t="n">
        <v>3233147.19</v>
      </c>
      <c r="AB11" s="37" t="n">
        <v>1125065.1038</v>
      </c>
      <c r="AC11" s="32" t="n">
        <f aca="false">AA11-AB11</f>
        <v>2108082.0862</v>
      </c>
      <c r="AD11" s="37" t="n">
        <v>3328874.35093501</v>
      </c>
      <c r="AE11" s="37" t="n">
        <v>3113095.44</v>
      </c>
      <c r="AF11" s="37" t="n">
        <v>1126003.9593187</v>
      </c>
      <c r="AG11" s="32" t="n">
        <f aca="false">AD11-AF11</f>
        <v>2202870.39161631</v>
      </c>
      <c r="AH11" s="37" t="n">
        <v>48360</v>
      </c>
      <c r="AI11" s="32" t="n">
        <f aca="false">AG11-AH11</f>
        <v>2154510.39161631</v>
      </c>
    </row>
    <row r="12" customFormat="false" ht="15" hidden="false" customHeight="false" outlineLevel="0" collapsed="false">
      <c r="A12" s="60" t="n">
        <v>1.07</v>
      </c>
      <c r="B12" s="113" t="s">
        <v>550</v>
      </c>
      <c r="C12" s="113" t="s">
        <v>551</v>
      </c>
      <c r="D12" s="113" t="s">
        <v>413</v>
      </c>
      <c r="E12" s="113" t="s">
        <v>417</v>
      </c>
      <c r="F12" s="128" t="n">
        <v>1986</v>
      </c>
      <c r="G12" s="24" t="s">
        <v>552</v>
      </c>
      <c r="H12" s="16" t="n">
        <v>288</v>
      </c>
      <c r="I12" s="16" t="n">
        <v>744</v>
      </c>
      <c r="J12" s="39" t="n">
        <v>0.924</v>
      </c>
      <c r="K12" s="16" t="n">
        <v>0</v>
      </c>
      <c r="L12" s="113" t="s">
        <v>541</v>
      </c>
      <c r="M12" s="129" t="n">
        <v>45383</v>
      </c>
      <c r="N12" s="28" t="n">
        <v>28590000</v>
      </c>
      <c r="O12" s="28" t="n">
        <v>2610000</v>
      </c>
      <c r="P12" s="28" t="n">
        <v>31200000</v>
      </c>
      <c r="Q12" s="28" t="n">
        <v>261000</v>
      </c>
      <c r="R12" s="28" t="n">
        <v>35900000</v>
      </c>
      <c r="S12" s="130" t="n">
        <v>46254</v>
      </c>
      <c r="T12" s="8" t="n">
        <v>0.0625</v>
      </c>
      <c r="U12" s="28" t="n">
        <v>2999955.09</v>
      </c>
      <c r="V12" s="28" t="n">
        <v>1675780.58</v>
      </c>
      <c r="W12" s="25" t="n">
        <f aca="false">U12-V12</f>
        <v>1324174.51</v>
      </c>
      <c r="X12" s="28" t="n">
        <v>4518080.02</v>
      </c>
      <c r="Y12" s="28" t="n">
        <v>2455422.87</v>
      </c>
      <c r="Z12" s="25" t="n">
        <f aca="false">X12-Y12</f>
        <v>2062657.15</v>
      </c>
      <c r="AA12" s="28" t="n">
        <v>4536908.71</v>
      </c>
      <c r="AB12" s="28" t="n">
        <v>2499396.1642</v>
      </c>
      <c r="AC12" s="25" t="n">
        <f aca="false">AA12-AB12</f>
        <v>2037512.5458</v>
      </c>
      <c r="AD12" s="28" t="n">
        <v>4614264.42901843</v>
      </c>
      <c r="AE12" s="28" t="n">
        <v>4140576</v>
      </c>
      <c r="AF12" s="28" t="n">
        <v>2416668.28061951</v>
      </c>
      <c r="AG12" s="25" t="n">
        <f aca="false">AD12-AF12</f>
        <v>2197596.14839892</v>
      </c>
      <c r="AH12" s="28" t="n">
        <v>74880</v>
      </c>
      <c r="AI12" s="25" t="n">
        <f aca="false">AG12-AH12</f>
        <v>2122716.14839892</v>
      </c>
    </row>
    <row r="13" customFormat="false" ht="15" hidden="false" customHeight="false" outlineLevel="0" collapsed="false">
      <c r="A13" s="131" t="n">
        <v>1.08</v>
      </c>
      <c r="B13" s="114" t="s">
        <v>553</v>
      </c>
      <c r="C13" s="114" t="s">
        <v>418</v>
      </c>
      <c r="D13" s="114" t="s">
        <v>414</v>
      </c>
      <c r="E13" s="114" t="s">
        <v>418</v>
      </c>
      <c r="F13" s="132" t="n">
        <v>1984</v>
      </c>
      <c r="G13" s="31" t="s">
        <v>537</v>
      </c>
      <c r="H13" s="17" t="n">
        <v>204</v>
      </c>
      <c r="I13" s="17" t="n">
        <v>672</v>
      </c>
      <c r="J13" s="33" t="n">
        <v>0.946</v>
      </c>
      <c r="K13" s="17" t="n">
        <v>2</v>
      </c>
      <c r="L13" s="114" t="s">
        <v>538</v>
      </c>
      <c r="M13" s="133" t="n">
        <v>44378</v>
      </c>
      <c r="N13" s="37" t="n">
        <v>27770000</v>
      </c>
      <c r="O13" s="37" t="n">
        <v>2530000</v>
      </c>
      <c r="P13" s="37" t="n">
        <v>30300000</v>
      </c>
      <c r="Q13" s="37" t="n">
        <v>253000</v>
      </c>
      <c r="R13" s="37" t="n">
        <v>34800000</v>
      </c>
      <c r="S13" s="134" t="n">
        <v>46254</v>
      </c>
      <c r="T13" s="12" t="n">
        <v>0.055</v>
      </c>
      <c r="U13" s="37" t="n">
        <v>3478027.32</v>
      </c>
      <c r="V13" s="37" t="n">
        <v>1134624.86</v>
      </c>
      <c r="W13" s="32" t="n">
        <f aca="false">U13-V13</f>
        <v>2343402.46</v>
      </c>
      <c r="X13" s="37" t="n">
        <v>3292873.07</v>
      </c>
      <c r="Y13" s="37" t="n">
        <v>1237356.24</v>
      </c>
      <c r="Z13" s="32" t="n">
        <f aca="false">X13-Y13</f>
        <v>2055516.83</v>
      </c>
      <c r="AA13" s="37" t="n">
        <v>3093164.89</v>
      </c>
      <c r="AB13" s="37" t="n">
        <v>1294349.6878</v>
      </c>
      <c r="AC13" s="32" t="n">
        <f aca="false">AA13-AB13</f>
        <v>1798815.2022</v>
      </c>
      <c r="AD13" s="37" t="n">
        <v>3311956.12626946</v>
      </c>
      <c r="AE13" s="37" t="n">
        <v>3058752</v>
      </c>
      <c r="AF13" s="37" t="n">
        <v>1305379.25945039</v>
      </c>
      <c r="AG13" s="32" t="n">
        <f aca="false">AD13-AF13</f>
        <v>2006576.86681907</v>
      </c>
      <c r="AH13" s="37" t="n">
        <v>53040</v>
      </c>
      <c r="AI13" s="32" t="n">
        <f aca="false">AG13-AH13</f>
        <v>1953536.86681907</v>
      </c>
    </row>
    <row r="14" customFormat="false" ht="15" hidden="false" customHeight="false" outlineLevel="0" collapsed="false">
      <c r="A14" s="60" t="n">
        <v>1.09</v>
      </c>
      <c r="B14" s="113" t="s">
        <v>554</v>
      </c>
      <c r="C14" s="113" t="s">
        <v>418</v>
      </c>
      <c r="D14" s="113" t="s">
        <v>414</v>
      </c>
      <c r="E14" s="113" t="s">
        <v>418</v>
      </c>
      <c r="F14" s="128" t="n">
        <v>1980</v>
      </c>
      <c r="G14" s="24" t="s">
        <v>537</v>
      </c>
      <c r="H14" s="16" t="n">
        <v>288</v>
      </c>
      <c r="I14" s="16" t="n">
        <v>656</v>
      </c>
      <c r="J14" s="39" t="n">
        <v>0.875</v>
      </c>
      <c r="K14" s="16" t="n">
        <v>2</v>
      </c>
      <c r="L14" s="113" t="s">
        <v>538</v>
      </c>
      <c r="M14" s="129" t="n">
        <v>44713</v>
      </c>
      <c r="N14" s="28" t="n">
        <v>27490000</v>
      </c>
      <c r="O14" s="28" t="n">
        <v>2510000</v>
      </c>
      <c r="P14" s="28" t="n">
        <v>30000000</v>
      </c>
      <c r="Q14" s="28" t="n">
        <v>251000</v>
      </c>
      <c r="R14" s="28" t="n">
        <v>45300000</v>
      </c>
      <c r="S14" s="130" t="n">
        <v>46255</v>
      </c>
      <c r="T14" s="8" t="n">
        <v>0.055</v>
      </c>
      <c r="U14" s="28" t="n">
        <v>4201493.3</v>
      </c>
      <c r="V14" s="28" t="n">
        <v>1875406.03</v>
      </c>
      <c r="W14" s="25" t="n">
        <f aca="false">U14-V14</f>
        <v>2326087.27</v>
      </c>
      <c r="X14" s="28" t="n">
        <v>3954839.35</v>
      </c>
      <c r="Y14" s="28" t="n">
        <v>1999193.79</v>
      </c>
      <c r="Z14" s="25" t="n">
        <f aca="false">X14-Y14</f>
        <v>1955645.56</v>
      </c>
      <c r="AA14" s="28" t="n">
        <v>3471073.09</v>
      </c>
      <c r="AB14" s="28" t="n">
        <v>1876340.4418</v>
      </c>
      <c r="AC14" s="25" t="n">
        <f aca="false">AA14-AB14</f>
        <v>1594732.6482</v>
      </c>
      <c r="AD14" s="28" t="n">
        <v>4034620.52079402</v>
      </c>
      <c r="AE14" s="28" t="n">
        <v>4036140</v>
      </c>
      <c r="AF14" s="28" t="n">
        <v>1886233.05811588</v>
      </c>
      <c r="AG14" s="25" t="n">
        <f aca="false">AD14-AF14</f>
        <v>2148387.46267814</v>
      </c>
      <c r="AH14" s="28" t="n">
        <v>74880</v>
      </c>
      <c r="AI14" s="25" t="n">
        <f aca="false">AG14-AH14</f>
        <v>2073507.46267814</v>
      </c>
    </row>
    <row r="15" customFormat="false" ht="15" hidden="false" customHeight="false" outlineLevel="0" collapsed="false">
      <c r="A15" s="131" t="n">
        <v>1.1</v>
      </c>
      <c r="B15" s="114" t="s">
        <v>555</v>
      </c>
      <c r="C15" s="114" t="s">
        <v>556</v>
      </c>
      <c r="D15" s="114" t="s">
        <v>413</v>
      </c>
      <c r="E15" s="114" t="s">
        <v>417</v>
      </c>
      <c r="F15" s="132" t="n">
        <v>1984</v>
      </c>
      <c r="G15" s="31" t="s">
        <v>552</v>
      </c>
      <c r="H15" s="17" t="n">
        <v>323</v>
      </c>
      <c r="I15" s="17" t="n">
        <v>721</v>
      </c>
      <c r="J15" s="33" t="n">
        <v>0.861</v>
      </c>
      <c r="K15" s="17" t="n">
        <v>4</v>
      </c>
      <c r="L15" s="114" t="s">
        <v>541</v>
      </c>
      <c r="M15" s="133" t="n">
        <v>45352</v>
      </c>
      <c r="N15" s="37" t="n">
        <v>24010000</v>
      </c>
      <c r="O15" s="37" t="n">
        <v>2190000</v>
      </c>
      <c r="P15" s="37" t="n">
        <v>26200000</v>
      </c>
      <c r="Q15" s="37" t="n">
        <v>219000</v>
      </c>
      <c r="R15" s="37" t="n">
        <v>34800000</v>
      </c>
      <c r="S15" s="134" t="n">
        <v>46254</v>
      </c>
      <c r="T15" s="12" t="n">
        <v>0.0625</v>
      </c>
      <c r="U15" s="37" t="n">
        <v>3221076.77</v>
      </c>
      <c r="V15" s="37" t="n">
        <v>1925540.08</v>
      </c>
      <c r="W15" s="32" t="n">
        <f aca="false">U15-V15</f>
        <v>1295536.69</v>
      </c>
      <c r="X15" s="37" t="n">
        <v>4378494.81</v>
      </c>
      <c r="Y15" s="37" t="n">
        <v>2543928.43</v>
      </c>
      <c r="Z15" s="32" t="n">
        <f aca="false">X15-Y15</f>
        <v>1834566.38</v>
      </c>
      <c r="AA15" s="37" t="n">
        <v>4292621.88</v>
      </c>
      <c r="AB15" s="37" t="n">
        <v>2423277.9176</v>
      </c>
      <c r="AC15" s="32" t="n">
        <f aca="false">AA15-AB15</f>
        <v>1869343.9624</v>
      </c>
      <c r="AD15" s="37" t="n">
        <v>4285180.16448643</v>
      </c>
      <c r="AE15" s="37" t="n">
        <v>3757571.28</v>
      </c>
      <c r="AF15" s="37" t="n">
        <v>2439705.30805883</v>
      </c>
      <c r="AG15" s="32" t="n">
        <f aca="false">AD15-AF15</f>
        <v>1845474.8564276</v>
      </c>
      <c r="AH15" s="37" t="n">
        <v>83980</v>
      </c>
      <c r="AI15" s="32" t="n">
        <f aca="false">AG15-AH15</f>
        <v>1761494.8564276</v>
      </c>
    </row>
    <row r="16" customFormat="false" ht="15" hidden="false" customHeight="false" outlineLevel="0" collapsed="false">
      <c r="A16" s="60" t="n">
        <v>1.11</v>
      </c>
      <c r="B16" s="113" t="s">
        <v>557</v>
      </c>
      <c r="C16" s="113" t="s">
        <v>558</v>
      </c>
      <c r="D16" s="113" t="s">
        <v>413</v>
      </c>
      <c r="E16" s="113" t="s">
        <v>417</v>
      </c>
      <c r="F16" s="128" t="n">
        <v>1997</v>
      </c>
      <c r="G16" s="24" t="s">
        <v>537</v>
      </c>
      <c r="H16" s="16" t="n">
        <v>200</v>
      </c>
      <c r="I16" s="16" t="n">
        <v>879</v>
      </c>
      <c r="J16" s="39" t="n">
        <v>0.95</v>
      </c>
      <c r="K16" s="16" t="n">
        <v>0</v>
      </c>
      <c r="L16" s="113" t="s">
        <v>541</v>
      </c>
      <c r="M16" s="129" t="n">
        <v>45231</v>
      </c>
      <c r="N16" s="28" t="n">
        <v>22910000</v>
      </c>
      <c r="O16" s="28" t="n">
        <v>2090000</v>
      </c>
      <c r="P16" s="28" t="n">
        <v>25000000</v>
      </c>
      <c r="Q16" s="28" t="n">
        <v>209000</v>
      </c>
      <c r="R16" s="28" t="n">
        <v>30600000</v>
      </c>
      <c r="S16" s="130" t="n">
        <v>46253</v>
      </c>
      <c r="T16" s="8" t="n">
        <v>0.055</v>
      </c>
      <c r="U16" s="28" t="n">
        <v>3422208.61</v>
      </c>
      <c r="V16" s="28" t="n">
        <v>2009978.2</v>
      </c>
      <c r="W16" s="25" t="n">
        <f aca="false">U16-V16</f>
        <v>1412230.41</v>
      </c>
      <c r="X16" s="28" t="n">
        <v>3619176.85</v>
      </c>
      <c r="Y16" s="28" t="n">
        <v>2144050.85</v>
      </c>
      <c r="Z16" s="25" t="n">
        <f aca="false">X16-Y16</f>
        <v>1475126</v>
      </c>
      <c r="AA16" s="28" t="n">
        <v>3635689.65</v>
      </c>
      <c r="AB16" s="28" t="n">
        <v>2101561.813</v>
      </c>
      <c r="AC16" s="25" t="n">
        <f aca="false">AA16-AB16</f>
        <v>1534127.837</v>
      </c>
      <c r="AD16" s="28" t="n">
        <v>3809195.8483741</v>
      </c>
      <c r="AE16" s="28" t="n">
        <v>3256296</v>
      </c>
      <c r="AF16" s="28" t="n">
        <v>2058574.92492516</v>
      </c>
      <c r="AG16" s="25" t="n">
        <f aca="false">AD16-AF16</f>
        <v>1750620.92344894</v>
      </c>
      <c r="AH16" s="28" t="n">
        <v>52000</v>
      </c>
      <c r="AI16" s="25" t="n">
        <f aca="false">AG16-AH16</f>
        <v>1698620.92344894</v>
      </c>
    </row>
    <row r="17" customFormat="false" ht="15" hidden="false" customHeight="false" outlineLevel="0" collapsed="false">
      <c r="A17" s="131" t="n">
        <v>1.12</v>
      </c>
      <c r="B17" s="114" t="s">
        <v>559</v>
      </c>
      <c r="C17" s="114" t="s">
        <v>560</v>
      </c>
      <c r="D17" s="114" t="s">
        <v>413</v>
      </c>
      <c r="E17" s="114" t="s">
        <v>417</v>
      </c>
      <c r="F17" s="132" t="n">
        <v>1983</v>
      </c>
      <c r="G17" s="31" t="s">
        <v>552</v>
      </c>
      <c r="H17" s="17" t="n">
        <v>224</v>
      </c>
      <c r="I17" s="17" t="n">
        <v>812</v>
      </c>
      <c r="J17" s="33" t="n">
        <v>0.879</v>
      </c>
      <c r="K17" s="17" t="n">
        <v>42</v>
      </c>
      <c r="L17" s="114" t="s">
        <v>541</v>
      </c>
      <c r="M17" s="133" t="n">
        <v>45566</v>
      </c>
      <c r="N17" s="37" t="n">
        <v>21170000</v>
      </c>
      <c r="O17" s="37" t="n">
        <v>1930000</v>
      </c>
      <c r="P17" s="37" t="n">
        <v>23100000</v>
      </c>
      <c r="Q17" s="37" t="n">
        <v>193000</v>
      </c>
      <c r="R17" s="37" t="n">
        <v>26500000</v>
      </c>
      <c r="S17" s="134" t="n">
        <v>46253</v>
      </c>
      <c r="T17" s="12" t="n">
        <v>0.0625</v>
      </c>
      <c r="U17" s="37" t="n">
        <v>660149.93</v>
      </c>
      <c r="V17" s="37" t="n">
        <v>363604.16</v>
      </c>
      <c r="W17" s="32" t="n">
        <f aca="false">U17-V17</f>
        <v>296545.77</v>
      </c>
      <c r="X17" s="37" t="n">
        <v>3597184.19</v>
      </c>
      <c r="Y17" s="37" t="n">
        <v>2002227.23</v>
      </c>
      <c r="Z17" s="32" t="n">
        <f aca="false">X17-Y17</f>
        <v>1594956.96</v>
      </c>
      <c r="AA17" s="37" t="n">
        <v>3543969.1</v>
      </c>
      <c r="AB17" s="37" t="n">
        <v>1929424.952</v>
      </c>
      <c r="AC17" s="32" t="n">
        <f aca="false">AA17-AB17</f>
        <v>1614544.148</v>
      </c>
      <c r="AD17" s="37" t="n">
        <v>3466587.76891408</v>
      </c>
      <c r="AE17" s="37" t="n">
        <v>3215340</v>
      </c>
      <c r="AF17" s="37" t="n">
        <v>1889938.45777616</v>
      </c>
      <c r="AG17" s="32" t="n">
        <f aca="false">AD17-AF17</f>
        <v>1576649.31113792</v>
      </c>
      <c r="AH17" s="37" t="n">
        <v>58240</v>
      </c>
      <c r="AI17" s="32" t="n">
        <f aca="false">AG17-AH17</f>
        <v>1518409.31113792</v>
      </c>
    </row>
    <row r="18" customFormat="false" ht="15" hidden="false" customHeight="false" outlineLevel="0" collapsed="false">
      <c r="A18" s="60" t="n">
        <v>1.13</v>
      </c>
      <c r="B18" s="113" t="s">
        <v>561</v>
      </c>
      <c r="C18" s="113" t="s">
        <v>418</v>
      </c>
      <c r="D18" s="113" t="s">
        <v>414</v>
      </c>
      <c r="E18" s="113" t="s">
        <v>418</v>
      </c>
      <c r="F18" s="128" t="n">
        <v>1985</v>
      </c>
      <c r="G18" s="24" t="s">
        <v>537</v>
      </c>
      <c r="H18" s="16" t="n">
        <v>141</v>
      </c>
      <c r="I18" s="16" t="n">
        <v>776</v>
      </c>
      <c r="J18" s="39" t="n">
        <v>0.879</v>
      </c>
      <c r="K18" s="16" t="n">
        <v>1</v>
      </c>
      <c r="L18" s="113" t="s">
        <v>538</v>
      </c>
      <c r="M18" s="129" t="n">
        <v>44621</v>
      </c>
      <c r="N18" s="28" t="n">
        <v>20890000</v>
      </c>
      <c r="O18" s="28" t="n">
        <v>1910000</v>
      </c>
      <c r="P18" s="28" t="n">
        <v>22800000</v>
      </c>
      <c r="Q18" s="28" t="n">
        <v>191000</v>
      </c>
      <c r="R18" s="28" t="n">
        <v>28900000</v>
      </c>
      <c r="S18" s="130" t="n">
        <v>46255</v>
      </c>
      <c r="T18" s="8" t="n">
        <v>0.055</v>
      </c>
      <c r="U18" s="28" t="n">
        <v>2415631.62</v>
      </c>
      <c r="V18" s="28" t="n">
        <v>833996.92</v>
      </c>
      <c r="W18" s="25" t="n">
        <f aca="false">U18-V18</f>
        <v>1581634.7</v>
      </c>
      <c r="X18" s="28" t="n">
        <v>2345877.92</v>
      </c>
      <c r="Y18" s="28" t="n">
        <v>855537.17</v>
      </c>
      <c r="Z18" s="25" t="n">
        <f aca="false">X18-Y18</f>
        <v>1490340.75</v>
      </c>
      <c r="AA18" s="28" t="n">
        <v>2239601.31</v>
      </c>
      <c r="AB18" s="28" t="n">
        <v>893957.2162</v>
      </c>
      <c r="AC18" s="25" t="n">
        <f aca="false">AA18-AB18</f>
        <v>1345644.0938</v>
      </c>
      <c r="AD18" s="28" t="n">
        <v>2308030.20806475</v>
      </c>
      <c r="AE18" s="28" t="n">
        <v>2210400</v>
      </c>
      <c r="AF18" s="28" t="n">
        <v>894297.151236295</v>
      </c>
      <c r="AG18" s="25" t="n">
        <f aca="false">AD18-AF18</f>
        <v>1413733.05682845</v>
      </c>
      <c r="AH18" s="28" t="n">
        <v>36660</v>
      </c>
      <c r="AI18" s="25" t="n">
        <f aca="false">AG18-AH18</f>
        <v>1377073.05682845</v>
      </c>
    </row>
    <row r="19" customFormat="false" ht="15" hidden="false" customHeight="false" outlineLevel="0" collapsed="false">
      <c r="A19" s="131" t="n">
        <v>1.14</v>
      </c>
      <c r="B19" s="114" t="s">
        <v>562</v>
      </c>
      <c r="C19" s="114" t="s">
        <v>563</v>
      </c>
      <c r="D19" s="114" t="s">
        <v>413</v>
      </c>
      <c r="E19" s="114" t="s">
        <v>417</v>
      </c>
      <c r="F19" s="132" t="n">
        <v>1985</v>
      </c>
      <c r="G19" s="31" t="s">
        <v>552</v>
      </c>
      <c r="H19" s="17" t="n">
        <v>220</v>
      </c>
      <c r="I19" s="17" t="n">
        <v>753</v>
      </c>
      <c r="J19" s="33" t="n">
        <v>0.932</v>
      </c>
      <c r="K19" s="17" t="n">
        <v>4</v>
      </c>
      <c r="L19" s="114" t="s">
        <v>541</v>
      </c>
      <c r="M19" s="133" t="n">
        <v>45383</v>
      </c>
      <c r="N19" s="37" t="n">
        <v>20160000</v>
      </c>
      <c r="O19" s="37" t="n">
        <v>1840000</v>
      </c>
      <c r="P19" s="37" t="n">
        <v>22000000</v>
      </c>
      <c r="Q19" s="37" t="n">
        <v>184000</v>
      </c>
      <c r="R19" s="37" t="n">
        <v>27300000</v>
      </c>
      <c r="S19" s="134" t="n">
        <v>46254</v>
      </c>
      <c r="T19" s="12" t="n">
        <v>0.0625</v>
      </c>
      <c r="U19" s="37" t="n">
        <v>2043260.84</v>
      </c>
      <c r="V19" s="37" t="n">
        <v>1400084.2</v>
      </c>
      <c r="W19" s="32" t="n">
        <f aca="false">U19-V19</f>
        <v>643176.64</v>
      </c>
      <c r="X19" s="37" t="n">
        <v>2982802.37</v>
      </c>
      <c r="Y19" s="37" t="n">
        <v>1997745.4</v>
      </c>
      <c r="Z19" s="32" t="n">
        <f aca="false">X19-Y19</f>
        <v>985056.970000001</v>
      </c>
      <c r="AA19" s="37" t="n">
        <v>2934972.01</v>
      </c>
      <c r="AB19" s="37" t="n">
        <v>1777324.0702</v>
      </c>
      <c r="AC19" s="32" t="n">
        <f aca="false">AA19-AB19</f>
        <v>1157647.9398</v>
      </c>
      <c r="AD19" s="37" t="n">
        <v>3593259.39612658</v>
      </c>
      <c r="AE19" s="37" t="n">
        <v>3263832</v>
      </c>
      <c r="AF19" s="37" t="n">
        <v>1939132.35500619</v>
      </c>
      <c r="AG19" s="32" t="n">
        <f aca="false">AD19-AF19</f>
        <v>1654127.04112039</v>
      </c>
      <c r="AH19" s="37" t="n">
        <v>57200</v>
      </c>
      <c r="AI19" s="32" t="n">
        <f aca="false">AG19-AH19</f>
        <v>1596927.04112039</v>
      </c>
    </row>
    <row r="20" customFormat="false" ht="15" hidden="false" customHeight="false" outlineLevel="0" collapsed="false">
      <c r="A20" s="60" t="n">
        <v>1.15</v>
      </c>
      <c r="B20" s="113" t="s">
        <v>564</v>
      </c>
      <c r="C20" s="113" t="s">
        <v>563</v>
      </c>
      <c r="D20" s="113" t="s">
        <v>413</v>
      </c>
      <c r="E20" s="113" t="s">
        <v>417</v>
      </c>
      <c r="F20" s="128" t="n">
        <v>1983</v>
      </c>
      <c r="G20" s="24" t="s">
        <v>537</v>
      </c>
      <c r="H20" s="16" t="n">
        <v>252</v>
      </c>
      <c r="I20" s="16" t="n">
        <v>735</v>
      </c>
      <c r="J20" s="39" t="n">
        <v>0.913</v>
      </c>
      <c r="K20" s="16" t="n">
        <v>0</v>
      </c>
      <c r="L20" s="113" t="s">
        <v>541</v>
      </c>
      <c r="M20" s="129" t="n">
        <v>45200</v>
      </c>
      <c r="N20" s="28" t="n">
        <v>20160000</v>
      </c>
      <c r="O20" s="28" t="n">
        <v>1840000</v>
      </c>
      <c r="P20" s="28" t="n">
        <v>22000000</v>
      </c>
      <c r="Q20" s="28" t="n">
        <v>184000</v>
      </c>
      <c r="R20" s="28" t="n">
        <v>29000000</v>
      </c>
      <c r="S20" s="130" t="n">
        <v>46254</v>
      </c>
      <c r="T20" s="8" t="n">
        <v>0.0625</v>
      </c>
      <c r="U20" s="28" t="n">
        <v>3503167.14</v>
      </c>
      <c r="V20" s="28" t="n">
        <v>1999853.28</v>
      </c>
      <c r="W20" s="25" t="n">
        <f aca="false">U20-V20</f>
        <v>1503313.86</v>
      </c>
      <c r="X20" s="28" t="n">
        <v>3430086.8</v>
      </c>
      <c r="Y20" s="28" t="n">
        <v>1983601.85</v>
      </c>
      <c r="Z20" s="25" t="n">
        <f aca="false">X20-Y20</f>
        <v>1446484.95</v>
      </c>
      <c r="AA20" s="28" t="n">
        <v>3456549.83</v>
      </c>
      <c r="AB20" s="28" t="n">
        <v>1888795.8166</v>
      </c>
      <c r="AC20" s="25" t="n">
        <f aca="false">AA20-AB20</f>
        <v>1567754.0134</v>
      </c>
      <c r="AD20" s="28" t="n">
        <v>3593756.57423266</v>
      </c>
      <c r="AE20" s="28" t="n">
        <v>3215388</v>
      </c>
      <c r="AF20" s="28" t="n">
        <v>1915230.40704779</v>
      </c>
      <c r="AG20" s="25" t="n">
        <f aca="false">AD20-AF20</f>
        <v>1678526.16718487</v>
      </c>
      <c r="AH20" s="28" t="n">
        <v>65520</v>
      </c>
      <c r="AI20" s="25" t="n">
        <f aca="false">AG20-AH20</f>
        <v>1613006.16718487</v>
      </c>
    </row>
    <row r="21" customFormat="false" ht="15" hidden="false" customHeight="false" outlineLevel="0" collapsed="false">
      <c r="A21" s="131" t="n">
        <v>1.16</v>
      </c>
      <c r="B21" s="114" t="s">
        <v>565</v>
      </c>
      <c r="C21" s="114" t="s">
        <v>418</v>
      </c>
      <c r="D21" s="114" t="s">
        <v>414</v>
      </c>
      <c r="E21" s="114" t="s">
        <v>418</v>
      </c>
      <c r="F21" s="132" t="n">
        <v>1984</v>
      </c>
      <c r="G21" s="31" t="s">
        <v>537</v>
      </c>
      <c r="H21" s="17" t="n">
        <v>124</v>
      </c>
      <c r="I21" s="17" t="n">
        <v>752</v>
      </c>
      <c r="J21" s="33" t="n">
        <v>0.944</v>
      </c>
      <c r="K21" s="17" t="n">
        <v>3</v>
      </c>
      <c r="L21" s="114" t="s">
        <v>538</v>
      </c>
      <c r="M21" s="133" t="n">
        <v>44621</v>
      </c>
      <c r="N21" s="37" t="n">
        <v>18790000</v>
      </c>
      <c r="O21" s="37" t="n">
        <v>1710000</v>
      </c>
      <c r="P21" s="37" t="n">
        <v>20500000</v>
      </c>
      <c r="Q21" s="37" t="n">
        <v>171000</v>
      </c>
      <c r="R21" s="37" t="n">
        <v>24800000</v>
      </c>
      <c r="S21" s="134" t="n">
        <v>46255</v>
      </c>
      <c r="T21" s="12" t="n">
        <v>0.055</v>
      </c>
      <c r="U21" s="37" t="n">
        <v>2029951.21</v>
      </c>
      <c r="V21" s="37" t="n">
        <v>748015.5</v>
      </c>
      <c r="W21" s="32" t="n">
        <f aca="false">U21-V21</f>
        <v>1281935.71</v>
      </c>
      <c r="X21" s="37" t="n">
        <v>1919571.86</v>
      </c>
      <c r="Y21" s="37" t="n">
        <v>824884.82</v>
      </c>
      <c r="Z21" s="32" t="n">
        <f aca="false">X21-Y21</f>
        <v>1094687.04</v>
      </c>
      <c r="AA21" s="37" t="n">
        <v>1952208.33</v>
      </c>
      <c r="AB21" s="37" t="n">
        <v>821352.4166</v>
      </c>
      <c r="AC21" s="32" t="n">
        <f aca="false">AA21-AB21</f>
        <v>1130855.9134</v>
      </c>
      <c r="AD21" s="37" t="n">
        <v>2136382.28132483</v>
      </c>
      <c r="AE21" s="37" t="n">
        <v>2105400</v>
      </c>
      <c r="AF21" s="37" t="n">
        <v>825108.251251497</v>
      </c>
      <c r="AG21" s="32" t="n">
        <f aca="false">AD21-AF21</f>
        <v>1311274.03007333</v>
      </c>
      <c r="AH21" s="37" t="n">
        <v>32240</v>
      </c>
      <c r="AI21" s="32" t="n">
        <f aca="false">AG21-AH21</f>
        <v>1279034.03007333</v>
      </c>
    </row>
    <row r="22" customFormat="false" ht="15" hidden="false" customHeight="false" outlineLevel="0" collapsed="false">
      <c r="A22" s="60" t="n">
        <v>1.17</v>
      </c>
      <c r="B22" s="113" t="s">
        <v>566</v>
      </c>
      <c r="C22" s="113" t="s">
        <v>547</v>
      </c>
      <c r="D22" s="113" t="s">
        <v>414</v>
      </c>
      <c r="E22" s="113" t="s">
        <v>418</v>
      </c>
      <c r="F22" s="128" t="n">
        <v>1980</v>
      </c>
      <c r="G22" s="24" t="s">
        <v>537</v>
      </c>
      <c r="H22" s="16" t="n">
        <v>112</v>
      </c>
      <c r="I22" s="16" t="n">
        <v>808</v>
      </c>
      <c r="J22" s="39" t="n">
        <v>0.92</v>
      </c>
      <c r="K22" s="16" t="n">
        <v>1</v>
      </c>
      <c r="L22" s="113" t="s">
        <v>538</v>
      </c>
      <c r="M22" s="129" t="n">
        <v>44927</v>
      </c>
      <c r="N22" s="28" t="n">
        <v>18700000</v>
      </c>
      <c r="O22" s="28" t="n">
        <v>1700000</v>
      </c>
      <c r="P22" s="28" t="n">
        <v>20400000</v>
      </c>
      <c r="Q22" s="28" t="n">
        <v>170000</v>
      </c>
      <c r="R22" s="28" t="n">
        <v>24000000</v>
      </c>
      <c r="S22" s="130" t="n">
        <v>46254</v>
      </c>
      <c r="T22" s="8" t="n">
        <v>0.055</v>
      </c>
      <c r="U22" s="28" t="n">
        <v>2038023.86</v>
      </c>
      <c r="V22" s="28" t="n">
        <v>659591.9</v>
      </c>
      <c r="W22" s="25" t="n">
        <f aca="false">U22-V22</f>
        <v>1378431.96</v>
      </c>
      <c r="X22" s="28" t="n">
        <v>2040879.05</v>
      </c>
      <c r="Y22" s="28" t="n">
        <v>675296.21</v>
      </c>
      <c r="Z22" s="25" t="n">
        <f aca="false">X22-Y22</f>
        <v>1365582.84</v>
      </c>
      <c r="AA22" s="28" t="n">
        <v>2023636.4</v>
      </c>
      <c r="AB22" s="28" t="n">
        <v>681898.508</v>
      </c>
      <c r="AC22" s="25" t="n">
        <f aca="false">AA22-AB22</f>
        <v>1341737.892</v>
      </c>
      <c r="AD22" s="28" t="n">
        <v>1980289.59903526</v>
      </c>
      <c r="AE22" s="28" t="n">
        <v>1840560</v>
      </c>
      <c r="AF22" s="28" t="n">
        <v>681442.664030705</v>
      </c>
      <c r="AG22" s="25" t="n">
        <f aca="false">AD22-AF22</f>
        <v>1298846.93500456</v>
      </c>
      <c r="AH22" s="28" t="n">
        <v>29120</v>
      </c>
      <c r="AI22" s="25" t="n">
        <f aca="false">AG22-AH22</f>
        <v>1269726.93500456</v>
      </c>
    </row>
    <row r="23" customFormat="false" ht="15" hidden="false" customHeight="false" outlineLevel="0" collapsed="false">
      <c r="A23" s="131" t="n">
        <v>1.18</v>
      </c>
      <c r="B23" s="114" t="s">
        <v>567</v>
      </c>
      <c r="C23" s="114" t="s">
        <v>558</v>
      </c>
      <c r="D23" s="114" t="s">
        <v>413</v>
      </c>
      <c r="E23" s="114" t="s">
        <v>417</v>
      </c>
      <c r="F23" s="132" t="n">
        <v>1983</v>
      </c>
      <c r="G23" s="31" t="s">
        <v>552</v>
      </c>
      <c r="H23" s="17" t="n">
        <v>210</v>
      </c>
      <c r="I23" s="17" t="n">
        <v>739</v>
      </c>
      <c r="J23" s="33" t="n">
        <v>0.957</v>
      </c>
      <c r="K23" s="17" t="n">
        <v>8</v>
      </c>
      <c r="L23" s="114" t="s">
        <v>541</v>
      </c>
      <c r="M23" s="133" t="n">
        <v>45261</v>
      </c>
      <c r="N23" s="37" t="n">
        <v>17410000</v>
      </c>
      <c r="O23" s="37" t="n">
        <v>1590000</v>
      </c>
      <c r="P23" s="37" t="n">
        <v>19000000</v>
      </c>
      <c r="Q23" s="37" t="n">
        <v>159000</v>
      </c>
      <c r="R23" s="37" t="n">
        <v>21700000</v>
      </c>
      <c r="S23" s="134" t="n">
        <v>46253</v>
      </c>
      <c r="T23" s="12" t="n">
        <v>0.0625</v>
      </c>
      <c r="U23" s="37" t="n">
        <v>2880575.17</v>
      </c>
      <c r="V23" s="37" t="n">
        <v>1647432.26</v>
      </c>
      <c r="W23" s="32" t="n">
        <f aca="false">U23-V23</f>
        <v>1233142.91</v>
      </c>
      <c r="X23" s="37" t="n">
        <v>2996830.42</v>
      </c>
      <c r="Y23" s="37" t="n">
        <v>1932913.85</v>
      </c>
      <c r="Z23" s="32" t="n">
        <f aca="false">X23-Y23</f>
        <v>1063916.57</v>
      </c>
      <c r="AA23" s="37" t="n">
        <v>3116588.63</v>
      </c>
      <c r="AB23" s="37" t="n">
        <v>1815887.4926</v>
      </c>
      <c r="AC23" s="32" t="n">
        <f aca="false">AA23-AB23</f>
        <v>1300701.1374</v>
      </c>
      <c r="AD23" s="37" t="n">
        <v>3334880.35177932</v>
      </c>
      <c r="AE23" s="37" t="n">
        <v>2848894.56</v>
      </c>
      <c r="AF23" s="37" t="n">
        <v>1824218.17441504</v>
      </c>
      <c r="AG23" s="32" t="n">
        <f aca="false">AD23-AF23</f>
        <v>1510662.17736428</v>
      </c>
      <c r="AH23" s="37" t="n">
        <v>54600</v>
      </c>
      <c r="AI23" s="32" t="n">
        <f aca="false">AG23-AH23</f>
        <v>1456062.17736428</v>
      </c>
    </row>
    <row r="24" customFormat="false" ht="15" hidden="false" customHeight="false" outlineLevel="0" collapsed="false">
      <c r="A24" s="60" t="n">
        <v>1.19</v>
      </c>
      <c r="B24" s="113" t="s">
        <v>568</v>
      </c>
      <c r="C24" s="113" t="s">
        <v>569</v>
      </c>
      <c r="D24" s="113" t="s">
        <v>414</v>
      </c>
      <c r="E24" s="113" t="s">
        <v>418</v>
      </c>
      <c r="F24" s="128" t="n">
        <v>1983</v>
      </c>
      <c r="G24" s="24" t="s">
        <v>537</v>
      </c>
      <c r="H24" s="16" t="n">
        <v>120</v>
      </c>
      <c r="I24" s="16" t="n">
        <v>741</v>
      </c>
      <c r="J24" s="39" t="n">
        <v>0.908</v>
      </c>
      <c r="K24" s="16" t="n">
        <v>8</v>
      </c>
      <c r="L24" s="113" t="s">
        <v>538</v>
      </c>
      <c r="M24" s="129" t="n">
        <v>44805</v>
      </c>
      <c r="N24" s="28" t="n">
        <v>17320000</v>
      </c>
      <c r="O24" s="28" t="n">
        <v>1580000</v>
      </c>
      <c r="P24" s="28" t="n">
        <v>18900000</v>
      </c>
      <c r="Q24" s="28" t="n">
        <v>158000</v>
      </c>
      <c r="R24" s="28" t="n">
        <v>23800000</v>
      </c>
      <c r="S24" s="130" t="n">
        <v>46254</v>
      </c>
      <c r="T24" s="8" t="n">
        <v>0.055</v>
      </c>
      <c r="U24" s="28" t="n">
        <v>2017181</v>
      </c>
      <c r="V24" s="28" t="n">
        <v>693111.6</v>
      </c>
      <c r="W24" s="25" t="n">
        <f aca="false">U24-V24</f>
        <v>1324069.4</v>
      </c>
      <c r="X24" s="28" t="n">
        <v>1993956.84</v>
      </c>
      <c r="Y24" s="28" t="n">
        <v>787228.3</v>
      </c>
      <c r="Z24" s="25" t="n">
        <f aca="false">X24-Y24</f>
        <v>1206728.54</v>
      </c>
      <c r="AA24" s="28" t="n">
        <v>1980643.77</v>
      </c>
      <c r="AB24" s="28" t="n">
        <v>820637.5354</v>
      </c>
      <c r="AC24" s="25" t="n">
        <f aca="false">AA24-AB24</f>
        <v>1160006.2346</v>
      </c>
      <c r="AD24" s="28" t="n">
        <v>2015667.58604661</v>
      </c>
      <c r="AE24" s="28" t="n">
        <v>1881540</v>
      </c>
      <c r="AF24" s="28" t="n">
        <v>818874.660645932</v>
      </c>
      <c r="AG24" s="25" t="n">
        <f aca="false">AD24-AF24</f>
        <v>1196792.92540067</v>
      </c>
      <c r="AH24" s="28" t="n">
        <v>31200</v>
      </c>
      <c r="AI24" s="25" t="n">
        <f aca="false">AG24-AH24</f>
        <v>1165592.92540067</v>
      </c>
    </row>
    <row r="25" customFormat="false" ht="15" hidden="false" customHeight="false" outlineLevel="0" collapsed="false">
      <c r="A25" s="131" t="n">
        <v>1.2</v>
      </c>
      <c r="B25" s="114" t="s">
        <v>570</v>
      </c>
      <c r="C25" s="114" t="s">
        <v>540</v>
      </c>
      <c r="D25" s="114" t="s">
        <v>413</v>
      </c>
      <c r="E25" s="114" t="s">
        <v>417</v>
      </c>
      <c r="F25" s="132" t="n">
        <v>1983</v>
      </c>
      <c r="G25" s="31" t="s">
        <v>537</v>
      </c>
      <c r="H25" s="17" t="n">
        <v>176</v>
      </c>
      <c r="I25" s="17" t="n">
        <v>724</v>
      </c>
      <c r="J25" s="33" t="n">
        <v>0.955</v>
      </c>
      <c r="K25" s="17" t="n">
        <v>3</v>
      </c>
      <c r="L25" s="114" t="s">
        <v>541</v>
      </c>
      <c r="M25" s="133" t="n">
        <v>45047</v>
      </c>
      <c r="N25" s="37" t="n">
        <v>17050000</v>
      </c>
      <c r="O25" s="37" t="n">
        <v>1550000</v>
      </c>
      <c r="P25" s="37" t="n">
        <v>18600000</v>
      </c>
      <c r="Q25" s="37" t="n">
        <v>155000</v>
      </c>
      <c r="R25" s="37" t="n">
        <v>21300000</v>
      </c>
      <c r="S25" s="134" t="n">
        <v>46254</v>
      </c>
      <c r="T25" s="12" t="n">
        <v>0.0625</v>
      </c>
      <c r="U25" s="37" t="n">
        <v>2681175.46</v>
      </c>
      <c r="V25" s="37" t="n">
        <v>1460816.35</v>
      </c>
      <c r="W25" s="32" t="n">
        <f aca="false">U25-V25</f>
        <v>1220359.11</v>
      </c>
      <c r="X25" s="37" t="n">
        <v>2774393.54</v>
      </c>
      <c r="Y25" s="37" t="n">
        <v>1488780.93</v>
      </c>
      <c r="Z25" s="32" t="n">
        <f aca="false">X25-Y25</f>
        <v>1285612.61</v>
      </c>
      <c r="AA25" s="37" t="n">
        <v>2763814.2</v>
      </c>
      <c r="AB25" s="37" t="n">
        <v>1528976.334</v>
      </c>
      <c r="AC25" s="32" t="n">
        <f aca="false">AA25-AB25</f>
        <v>1234837.866</v>
      </c>
      <c r="AD25" s="37" t="n">
        <v>2985183.02644212</v>
      </c>
      <c r="AE25" s="37" t="n">
        <v>2519807.88</v>
      </c>
      <c r="AF25" s="37" t="n">
        <v>1497181.90033719</v>
      </c>
      <c r="AG25" s="32" t="n">
        <f aca="false">AD25-AF25</f>
        <v>1488001.12610492</v>
      </c>
      <c r="AH25" s="37" t="n">
        <v>45760</v>
      </c>
      <c r="AI25" s="32" t="n">
        <f aca="false">AG25-AH25</f>
        <v>1442241.12610492</v>
      </c>
    </row>
    <row r="26" customFormat="false" ht="15" hidden="false" customHeight="false" outlineLevel="0" collapsed="false">
      <c r="A26" s="60" t="n">
        <v>1.21</v>
      </c>
      <c r="B26" s="113" t="s">
        <v>571</v>
      </c>
      <c r="C26" s="113" t="s">
        <v>563</v>
      </c>
      <c r="D26" s="113" t="s">
        <v>413</v>
      </c>
      <c r="E26" s="113" t="s">
        <v>417</v>
      </c>
      <c r="F26" s="128" t="n">
        <v>1980</v>
      </c>
      <c r="G26" s="24" t="s">
        <v>537</v>
      </c>
      <c r="H26" s="16" t="n">
        <v>262</v>
      </c>
      <c r="I26" s="16" t="n">
        <v>824</v>
      </c>
      <c r="J26" s="39" t="n">
        <v>0.851</v>
      </c>
      <c r="K26" s="16" t="n">
        <v>3</v>
      </c>
      <c r="L26" s="113" t="s">
        <v>541</v>
      </c>
      <c r="M26" s="129" t="n">
        <v>45108</v>
      </c>
      <c r="N26" s="28" t="n">
        <v>16500000</v>
      </c>
      <c r="O26" s="28" t="n">
        <v>1500000</v>
      </c>
      <c r="P26" s="28" t="n">
        <v>18000000</v>
      </c>
      <c r="Q26" s="28" t="n">
        <v>150000</v>
      </c>
      <c r="R26" s="28" t="n">
        <v>32800000</v>
      </c>
      <c r="S26" s="130" t="n">
        <v>46254</v>
      </c>
      <c r="T26" s="8" t="n">
        <v>0.0625</v>
      </c>
      <c r="U26" s="28" t="n">
        <v>3987120.66</v>
      </c>
      <c r="V26" s="28" t="n">
        <v>2520902.19</v>
      </c>
      <c r="W26" s="25" t="n">
        <f aca="false">U26-V26</f>
        <v>1466218.47</v>
      </c>
      <c r="X26" s="28" t="n">
        <v>3677035.05</v>
      </c>
      <c r="Y26" s="28" t="n">
        <v>2532540.13</v>
      </c>
      <c r="Z26" s="25" t="n">
        <f aca="false">X26-Y26</f>
        <v>1144494.92</v>
      </c>
      <c r="AA26" s="28" t="n">
        <v>3819580.99</v>
      </c>
      <c r="AB26" s="28" t="n">
        <v>2435152.1598</v>
      </c>
      <c r="AC26" s="25" t="n">
        <f aca="false">AA26-AB26</f>
        <v>1384428.8302</v>
      </c>
      <c r="AD26" s="28" t="n">
        <v>3961042.30978493</v>
      </c>
      <c r="AE26" s="28" t="n">
        <v>3371136</v>
      </c>
      <c r="AF26" s="28" t="n">
        <v>2454314.08010638</v>
      </c>
      <c r="AG26" s="25" t="n">
        <f aca="false">AD26-AF26</f>
        <v>1506728.22967855</v>
      </c>
      <c r="AH26" s="28" t="n">
        <v>68120</v>
      </c>
      <c r="AI26" s="25" t="n">
        <f aca="false">AG26-AH26</f>
        <v>1438608.22967855</v>
      </c>
    </row>
    <row r="27" customFormat="false" ht="15" hidden="false" customHeight="false" outlineLevel="0" collapsed="false">
      <c r="A27" s="131" t="n">
        <v>1.22</v>
      </c>
      <c r="B27" s="114" t="s">
        <v>572</v>
      </c>
      <c r="C27" s="114" t="s">
        <v>560</v>
      </c>
      <c r="D27" s="114" t="s">
        <v>413</v>
      </c>
      <c r="E27" s="114" t="s">
        <v>417</v>
      </c>
      <c r="F27" s="132" t="n">
        <v>1983</v>
      </c>
      <c r="G27" s="31" t="s">
        <v>552</v>
      </c>
      <c r="H27" s="17" t="n">
        <v>142</v>
      </c>
      <c r="I27" s="17" t="n">
        <v>857</v>
      </c>
      <c r="J27" s="33" t="n">
        <v>0.923</v>
      </c>
      <c r="K27" s="17" t="n">
        <v>5</v>
      </c>
      <c r="L27" s="114" t="s">
        <v>541</v>
      </c>
      <c r="M27" s="133" t="n">
        <v>45597</v>
      </c>
      <c r="N27" s="37" t="n">
        <v>14750000</v>
      </c>
      <c r="O27" s="37" t="n">
        <v>1350000</v>
      </c>
      <c r="P27" s="37" t="n">
        <v>16100000</v>
      </c>
      <c r="Q27" s="37" t="n">
        <v>135000</v>
      </c>
      <c r="R27" s="37" t="n">
        <v>18400000</v>
      </c>
      <c r="S27" s="134" t="n">
        <v>46253</v>
      </c>
      <c r="T27" s="12" t="n">
        <v>0.0625</v>
      </c>
      <c r="U27" s="37" t="n">
        <v>220142.8</v>
      </c>
      <c r="V27" s="37" t="n">
        <v>116312.48</v>
      </c>
      <c r="W27" s="32" t="n">
        <f aca="false">U27-V27</f>
        <v>103830.32</v>
      </c>
      <c r="X27" s="37" t="n">
        <v>2322573.4</v>
      </c>
      <c r="Y27" s="37" t="n">
        <v>1378844.07</v>
      </c>
      <c r="Z27" s="32" t="n">
        <f aca="false">X27-Y27</f>
        <v>943729.33</v>
      </c>
      <c r="AA27" s="37" t="n">
        <v>2371729.59</v>
      </c>
      <c r="AB27" s="37" t="n">
        <v>1385624.0318</v>
      </c>
      <c r="AC27" s="32" t="n">
        <f aca="false">AA27-AB27</f>
        <v>986105.5582</v>
      </c>
      <c r="AD27" s="37" t="n">
        <v>2333027.02142262</v>
      </c>
      <c r="AE27" s="37" t="n">
        <v>2110404</v>
      </c>
      <c r="AF27" s="37" t="n">
        <v>1275060.64779315</v>
      </c>
      <c r="AG27" s="32" t="n">
        <f aca="false">AD27-AF27</f>
        <v>1057966.37362947</v>
      </c>
      <c r="AH27" s="37" t="n">
        <v>36920</v>
      </c>
      <c r="AI27" s="32" t="n">
        <f aca="false">AG27-AH27</f>
        <v>1021046.37362947</v>
      </c>
    </row>
    <row r="28" customFormat="false" ht="15" hidden="false" customHeight="false" outlineLevel="0" collapsed="false">
      <c r="A28" s="60" t="n">
        <v>1.23</v>
      </c>
      <c r="B28" s="113" t="s">
        <v>573</v>
      </c>
      <c r="C28" s="113" t="s">
        <v>574</v>
      </c>
      <c r="D28" s="113" t="s">
        <v>415</v>
      </c>
      <c r="E28" s="113" t="s">
        <v>420</v>
      </c>
      <c r="F28" s="128" t="n">
        <v>1986</v>
      </c>
      <c r="G28" s="24" t="s">
        <v>552</v>
      </c>
      <c r="H28" s="16" t="n">
        <v>100</v>
      </c>
      <c r="I28" s="16" t="n">
        <v>746</v>
      </c>
      <c r="J28" s="39" t="n">
        <v>0.93</v>
      </c>
      <c r="K28" s="16" t="n">
        <v>0</v>
      </c>
      <c r="L28" s="113" t="s">
        <v>541</v>
      </c>
      <c r="M28" s="129" t="n">
        <v>45474</v>
      </c>
      <c r="N28" s="28" t="n">
        <v>13290000</v>
      </c>
      <c r="O28" s="28" t="n">
        <v>1210000</v>
      </c>
      <c r="P28" s="28" t="n">
        <v>14500000</v>
      </c>
      <c r="Q28" s="28" t="n">
        <v>121000</v>
      </c>
      <c r="R28" s="28" t="n">
        <v>17250000</v>
      </c>
      <c r="S28" s="130" t="n">
        <v>46253</v>
      </c>
      <c r="T28" s="8" t="n">
        <v>0.0525</v>
      </c>
      <c r="U28" s="28" t="n">
        <v>727435.04</v>
      </c>
      <c r="V28" s="28" t="n">
        <v>342229.62</v>
      </c>
      <c r="W28" s="25" t="n">
        <f aca="false">U28-V28</f>
        <v>385205.42</v>
      </c>
      <c r="X28" s="28" t="n">
        <v>1508158.77</v>
      </c>
      <c r="Y28" s="28" t="n">
        <v>695760.15</v>
      </c>
      <c r="Z28" s="25" t="n">
        <f aca="false">X28-Y28</f>
        <v>812398.62</v>
      </c>
      <c r="AA28" s="28" t="n">
        <v>1482963.36</v>
      </c>
      <c r="AB28" s="28" t="n">
        <v>695556.7372</v>
      </c>
      <c r="AC28" s="25" t="n">
        <f aca="false">AA28-AB28</f>
        <v>787406.6228</v>
      </c>
      <c r="AD28" s="28" t="n">
        <v>1582259.6724083</v>
      </c>
      <c r="AE28" s="28" t="n">
        <v>1475508</v>
      </c>
      <c r="AF28" s="28" t="n">
        <v>704349.137396166</v>
      </c>
      <c r="AG28" s="25" t="n">
        <f aca="false">AD28-AF28</f>
        <v>877910.535012133</v>
      </c>
      <c r="AH28" s="28" t="n">
        <v>26000</v>
      </c>
      <c r="AI28" s="25" t="n">
        <f aca="false">AG28-AH28</f>
        <v>851910.535012133</v>
      </c>
    </row>
    <row r="29" customFormat="false" ht="15" hidden="false" customHeight="false" outlineLevel="0" collapsed="false">
      <c r="A29" s="42"/>
      <c r="B29" s="41" t="s">
        <v>185</v>
      </c>
      <c r="C29" s="42"/>
      <c r="D29" s="42"/>
      <c r="E29" s="42"/>
      <c r="F29" s="42"/>
      <c r="G29" s="42"/>
      <c r="H29" s="47" t="n">
        <f aca="false">SUM(H6:H28)</f>
        <v>4848</v>
      </c>
      <c r="I29" s="47" t="n">
        <f aca="false">SUMPRODUCT(I6:I28,H6:H28)/H29</f>
        <v>771.229991749175</v>
      </c>
      <c r="J29" s="44" t="n">
        <f aca="false">SUMPRODUCT(J6:J28,H6:H28)/H29</f>
        <v>0.915881188118812</v>
      </c>
      <c r="K29" s="47" t="n">
        <f aca="false">SUM(K6:K28)</f>
        <v>103</v>
      </c>
      <c r="L29" s="42"/>
      <c r="M29" s="42"/>
      <c r="N29" s="43" t="n">
        <f aca="false">SUM(N6:N28)</f>
        <v>548500000</v>
      </c>
      <c r="O29" s="43" t="n">
        <f aca="false">SUM(O6:O28)</f>
        <v>50000000</v>
      </c>
      <c r="P29" s="43" t="n">
        <f aca="false">SUM(P6:P28)</f>
        <v>598500000</v>
      </c>
      <c r="Q29" s="43" t="n">
        <f aca="false">SUM(Q6:Q28)</f>
        <v>5000000</v>
      </c>
      <c r="R29" s="43" t="n">
        <f aca="false">SUM(R6:R28)</f>
        <v>738150000</v>
      </c>
      <c r="S29" s="42"/>
      <c r="T29" s="46" t="n">
        <f aca="false">SUMPRODUCT(T6:T28,R6:R28)/R29</f>
        <v>0.0579104856736436</v>
      </c>
      <c r="U29" s="43" t="n">
        <f aca="false">SUM(U6:U28)</f>
        <v>63183836.92</v>
      </c>
      <c r="V29" s="43" t="n">
        <f aca="false">SUM(V6:V28)</f>
        <v>29826176.53</v>
      </c>
      <c r="W29" s="43" t="n">
        <f aca="false">SUM(W6:W28)</f>
        <v>33357660.39</v>
      </c>
      <c r="X29" s="43" t="n">
        <f aca="false">SUM(X6:X28)</f>
        <v>75224498.97</v>
      </c>
      <c r="Y29" s="43" t="n">
        <f aca="false">SUM(Y6:Y28)</f>
        <v>37962368.23</v>
      </c>
      <c r="Z29" s="43" t="n">
        <f aca="false">SUM(Z6:Z28)</f>
        <v>37262130.74</v>
      </c>
      <c r="AA29" s="43" t="n">
        <f aca="false">SUM(AA6:AA28)</f>
        <v>74959984.3</v>
      </c>
      <c r="AB29" s="43" t="n">
        <f aca="false">SUM(AB6:AB28)</f>
        <v>37402600.836</v>
      </c>
      <c r="AC29" s="43" t="n">
        <f aca="false">SUM(AC6:AC28)</f>
        <v>37557383.464</v>
      </c>
      <c r="AD29" s="43" t="n">
        <f aca="false">SUM(AD6:AD28)</f>
        <v>78387300.1628849</v>
      </c>
      <c r="AE29" s="43" t="n">
        <f aca="false">SUM(AE6:AE28)</f>
        <v>71385603.6</v>
      </c>
      <c r="AF29" s="43" t="n">
        <f aca="false">SUM(AF6:AF28)</f>
        <v>37177884.9536428</v>
      </c>
      <c r="AG29" s="43" t="n">
        <f aca="false">SUM(AG6:AG28)</f>
        <v>41209415.209242</v>
      </c>
      <c r="AH29" s="43" t="n">
        <f aca="false">SUM(AH6:AH28)</f>
        <v>1260480</v>
      </c>
      <c r="AI29" s="43" t="n">
        <f aca="false">SUM(AI6:AI28)</f>
        <v>39948935.209242</v>
      </c>
    </row>
    <row r="31" customFormat="false" ht="15" hidden="false" customHeight="false" outlineLevel="0" collapsed="false">
      <c r="B31" s="52" t="s">
        <v>575</v>
      </c>
    </row>
    <row r="32" customFormat="false" ht="15" hidden="false" customHeight="false" outlineLevel="0" collapsed="false">
      <c r="B32" s="6" t="s">
        <v>576</v>
      </c>
      <c r="H32" s="28" t="n">
        <v>759000000</v>
      </c>
    </row>
    <row r="33" customFormat="false" ht="15" hidden="false" customHeight="false" outlineLevel="0" collapsed="false">
      <c r="B33" s="6" t="s">
        <v>577</v>
      </c>
      <c r="H33" s="130" t="n">
        <v>46297</v>
      </c>
    </row>
    <row r="34" customFormat="false" ht="15" hidden="false" customHeight="false" outlineLevel="0" collapsed="false">
      <c r="B34" s="6" t="s">
        <v>578</v>
      </c>
      <c r="H34" s="8" t="n">
        <v>0.058</v>
      </c>
    </row>
    <row r="35" customFormat="false" ht="15" hidden="false" customHeight="false" outlineLevel="0" collapsed="false">
      <c r="B35" s="6" t="s">
        <v>579</v>
      </c>
      <c r="H35" s="113" t="s">
        <v>580</v>
      </c>
    </row>
    <row r="36" customFormat="false" ht="15" hidden="false" customHeight="false" outlineLevel="0" collapsed="false">
      <c r="B36" s="6" t="s">
        <v>144</v>
      </c>
      <c r="H36" s="28" t="n">
        <v>914700000</v>
      </c>
      <c r="I36" s="19" t="s">
        <v>581</v>
      </c>
    </row>
    <row r="37" customFormat="false" ht="15" hidden="false" customHeight="false" outlineLevel="0" collapsed="false">
      <c r="B37" s="6" t="s">
        <v>582</v>
      </c>
      <c r="H37" s="113" t="s">
        <v>583</v>
      </c>
    </row>
    <row r="39" customFormat="false" ht="15" hidden="false" customHeight="false" outlineLevel="0" collapsed="false">
      <c r="B39" s="19" t="s">
        <v>584</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&amp;L&amp;7 &amp;K9aa0a8CONFIDENTIAL&amp;R&amp;7 &amp;K9aa0a8&amp;P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B1:J6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4" min="3" style="0" width="10"/>
    <col collapsed="false" customWidth="true" hidden="false" outlineLevel="0" max="5" min="5" style="0" width="12"/>
    <col collapsed="false" customWidth="true" hidden="false" outlineLevel="0" max="8" min="6" style="0" width="10"/>
    <col collapsed="false" customWidth="true" hidden="false" outlineLevel="0" max="9" min="9" style="0" width="12"/>
    <col collapsed="false" customWidth="true" hidden="false" outlineLevel="0" max="10" min="10" style="0" width="9"/>
  </cols>
  <sheetData>
    <row r="1" customFormat="false" ht="15" hidden="false" customHeight="false" outlineLevel="0" collapsed="false">
      <c r="B1" s="1" t="s">
        <v>585</v>
      </c>
      <c r="C1" s="4"/>
      <c r="D1" s="4"/>
      <c r="E1" s="4"/>
      <c r="F1" s="4"/>
      <c r="G1" s="4"/>
      <c r="H1" s="4"/>
      <c r="I1" s="4"/>
      <c r="J1" s="4"/>
    </row>
    <row r="2" customFormat="false" ht="15" hidden="false" customHeight="false" outlineLevel="0" collapsed="false">
      <c r="B2" s="19" t="s">
        <v>586</v>
      </c>
    </row>
    <row r="5" customFormat="false" ht="15" hidden="false" customHeight="false" outlineLevel="0" collapsed="false">
      <c r="B5" s="52" t="s">
        <v>587</v>
      </c>
    </row>
    <row r="6" customFormat="false" ht="27.75" hidden="false" customHeight="true" outlineLevel="0" collapsed="false">
      <c r="B6" s="22" t="s">
        <v>394</v>
      </c>
      <c r="C6" s="22" t="s">
        <v>231</v>
      </c>
      <c r="D6" s="22" t="s">
        <v>232</v>
      </c>
      <c r="E6" s="22" t="s">
        <v>233</v>
      </c>
      <c r="F6" s="22" t="s">
        <v>588</v>
      </c>
      <c r="G6" s="22" t="s">
        <v>589</v>
      </c>
      <c r="H6" s="22" t="s">
        <v>590</v>
      </c>
      <c r="I6" s="22" t="s">
        <v>591</v>
      </c>
      <c r="J6" s="22" t="s">
        <v>41</v>
      </c>
    </row>
    <row r="7" customFormat="false" ht="15" hidden="false" customHeight="false" outlineLevel="0" collapsed="false">
      <c r="B7" s="61" t="str">
        <f aca="false">INDEX(Tape_Property,1)</f>
        <v>Rise Broadway</v>
      </c>
      <c r="C7" s="135" t="n">
        <v>0.942</v>
      </c>
      <c r="D7" s="135" t="n">
        <v>0.925</v>
      </c>
      <c r="E7" s="135" t="n">
        <v>0.913</v>
      </c>
      <c r="F7" s="135" t="n">
        <v>0.92</v>
      </c>
      <c r="G7" s="135" t="n">
        <v>0.914</v>
      </c>
      <c r="H7" s="135" t="n">
        <v>0.902</v>
      </c>
      <c r="I7" s="135" t="n">
        <v>0.891</v>
      </c>
      <c r="J7" s="57" t="n">
        <f aca="false">INDEX(Tape_Units,MATCH($B7,Tape_Property,0))</f>
        <v>288</v>
      </c>
    </row>
    <row r="8" customFormat="false" ht="15" hidden="false" customHeight="false" outlineLevel="0" collapsed="false">
      <c r="B8" s="65" t="str">
        <f aca="false">INDEX(Tape_Property,2)</f>
        <v>Rise Bedford Lake</v>
      </c>
      <c r="C8" s="136" t="n">
        <v>0.918</v>
      </c>
      <c r="D8" s="136" t="n">
        <v>0.878</v>
      </c>
      <c r="E8" s="136" t="n">
        <v>0.916</v>
      </c>
      <c r="F8" s="136" t="n">
        <v>0.94</v>
      </c>
      <c r="G8" s="136" t="n">
        <v>0.929</v>
      </c>
      <c r="H8" s="136" t="n">
        <v>0.917</v>
      </c>
      <c r="I8" s="136" t="n">
        <v>0.931</v>
      </c>
      <c r="J8" s="66" t="n">
        <f aca="false">INDEX(Tape_Units,MATCH($B8,Tape_Property,0))</f>
        <v>360</v>
      </c>
    </row>
    <row r="9" customFormat="false" ht="15" hidden="false" customHeight="false" outlineLevel="0" collapsed="false">
      <c r="B9" s="61" t="str">
        <f aca="false">INDEX(Tape_Property,3)</f>
        <v>Rise Creekside</v>
      </c>
      <c r="C9" s="135" t="n">
        <v>0.89</v>
      </c>
      <c r="D9" s="135" t="n">
        <v>0.85</v>
      </c>
      <c r="E9" s="135" t="n">
        <v>0.887</v>
      </c>
      <c r="F9" s="135" t="n">
        <v>0.912</v>
      </c>
      <c r="G9" s="135" t="n">
        <v>0.935</v>
      </c>
      <c r="H9" s="135" t="n">
        <v>0.956</v>
      </c>
      <c r="I9" s="135" t="n">
        <v>0.95</v>
      </c>
      <c r="J9" s="57" t="n">
        <f aca="false">INDEX(Tape_Units,MATCH($B9,Tape_Property,0))</f>
        <v>228</v>
      </c>
    </row>
    <row r="10" customFormat="false" ht="15" hidden="false" customHeight="false" outlineLevel="0" collapsed="false">
      <c r="B10" s="65" t="str">
        <f aca="false">INDEX(Tape_Property,4)</f>
        <v>Rise Bridgeview</v>
      </c>
      <c r="C10" s="136" t="n">
        <v>1</v>
      </c>
      <c r="D10" s="136" t="n">
        <v>0.905</v>
      </c>
      <c r="E10" s="136" t="n">
        <v>0.925</v>
      </c>
      <c r="F10" s="136" t="n">
        <v>0.932</v>
      </c>
      <c r="G10" s="136" t="n">
        <v>0.923</v>
      </c>
      <c r="H10" s="136" t="n">
        <v>0.931</v>
      </c>
      <c r="I10" s="136" t="n">
        <v>0.927</v>
      </c>
      <c r="J10" s="66" t="n">
        <f aca="false">INDEX(Tape_Units,MATCH($B10,Tape_Property,0))</f>
        <v>240</v>
      </c>
    </row>
    <row r="11" customFormat="false" ht="15" hidden="false" customHeight="false" outlineLevel="0" collapsed="false">
      <c r="B11" s="61" t="str">
        <f aca="false">INDEX(Tape_Property,5)</f>
        <v>Rise Suncrest</v>
      </c>
      <c r="C11" s="135" t="n">
        <v>0.953</v>
      </c>
      <c r="D11" s="135" t="n">
        <v>0.921</v>
      </c>
      <c r="E11" s="135" t="n">
        <v>0.919</v>
      </c>
      <c r="F11" s="135" t="n">
        <v>0.94</v>
      </c>
      <c r="G11" s="135" t="n">
        <v>0.918</v>
      </c>
      <c r="H11" s="135" t="n">
        <v>0.938</v>
      </c>
      <c r="I11" s="135" t="n">
        <v>0.943</v>
      </c>
      <c r="J11" s="57" t="n">
        <f aca="false">INDEX(Tape_Units,MATCH($B11,Tape_Property,0))</f>
        <v>160</v>
      </c>
    </row>
    <row r="12" customFormat="false" ht="15" hidden="false" customHeight="false" outlineLevel="0" collapsed="false">
      <c r="B12" s="65" t="str">
        <f aca="false">INDEX(Tape_Property,6)</f>
        <v>Rise Desert Cove</v>
      </c>
      <c r="C12" s="136" t="n">
        <v>0.956</v>
      </c>
      <c r="D12" s="136" t="n">
        <v>0.931</v>
      </c>
      <c r="E12" s="136" t="n">
        <v>0.939</v>
      </c>
      <c r="F12" s="136" t="n">
        <v>0.958</v>
      </c>
      <c r="G12" s="136" t="n">
        <v>0.945</v>
      </c>
      <c r="H12" s="136" t="n">
        <v>0.936</v>
      </c>
      <c r="I12" s="136" t="n">
        <v>0.944</v>
      </c>
      <c r="J12" s="66" t="n">
        <f aca="false">INDEX(Tape_Units,MATCH($B12,Tape_Property,0))</f>
        <v>186</v>
      </c>
    </row>
    <row r="13" customFormat="false" ht="15" hidden="false" customHeight="false" outlineLevel="0" collapsed="false">
      <c r="B13" s="61" t="str">
        <f aca="false">INDEX(Tape_Property,7)</f>
        <v>Rise Fossil Creek</v>
      </c>
      <c r="C13" s="135" t="n">
        <v>0.919</v>
      </c>
      <c r="D13" s="135" t="n">
        <v>0.912</v>
      </c>
      <c r="E13" s="135" t="n">
        <v>0.915</v>
      </c>
      <c r="F13" s="135" t="n">
        <v>0.921</v>
      </c>
      <c r="G13" s="135" t="n">
        <v>0.917</v>
      </c>
      <c r="H13" s="135" t="n">
        <v>0.911</v>
      </c>
      <c r="I13" s="135" t="n">
        <v>0.921</v>
      </c>
      <c r="J13" s="57" t="n">
        <f aca="false">INDEX(Tape_Units,MATCH($B13,Tape_Property,0))</f>
        <v>288</v>
      </c>
    </row>
    <row r="14" customFormat="false" ht="15" hidden="false" customHeight="false" outlineLevel="0" collapsed="false">
      <c r="B14" s="65" t="str">
        <f aca="false">INDEX(Tape_Property,8)</f>
        <v>Rise Desert West</v>
      </c>
      <c r="C14" s="136" t="n">
        <v>0.945</v>
      </c>
      <c r="D14" s="136" t="n">
        <v>0.927</v>
      </c>
      <c r="E14" s="136" t="n">
        <v>0.912</v>
      </c>
      <c r="F14" s="136" t="n">
        <v>0.944</v>
      </c>
      <c r="G14" s="136" t="n">
        <v>0.945</v>
      </c>
      <c r="H14" s="136" t="n">
        <v>0.961</v>
      </c>
      <c r="I14" s="136" t="n">
        <v>0.947</v>
      </c>
      <c r="J14" s="66" t="n">
        <f aca="false">INDEX(Tape_Units,MATCH($B14,Tape_Property,0))</f>
        <v>204</v>
      </c>
    </row>
    <row r="15" customFormat="false" ht="15" hidden="false" customHeight="false" outlineLevel="0" collapsed="false">
      <c r="B15" s="61" t="str">
        <f aca="false">INDEX(Tape_Property,9)</f>
        <v>Rise Lakeside</v>
      </c>
      <c r="C15" s="135" t="n">
        <v>0.908</v>
      </c>
      <c r="D15" s="135" t="n">
        <v>0.835</v>
      </c>
      <c r="E15" s="135" t="n">
        <v>0.788</v>
      </c>
      <c r="F15" s="135" t="n">
        <v>0.822</v>
      </c>
      <c r="G15" s="135" t="n">
        <v>0.855</v>
      </c>
      <c r="H15" s="135" t="n">
        <v>0.871</v>
      </c>
      <c r="I15" s="135" t="n">
        <v>0.875</v>
      </c>
      <c r="J15" s="57" t="n">
        <f aca="false">INDEX(Tape_Units,MATCH($B15,Tape_Property,0))</f>
        <v>288</v>
      </c>
    </row>
    <row r="16" customFormat="false" ht="15" hidden="false" customHeight="false" outlineLevel="0" collapsed="false">
      <c r="B16" s="65" t="str">
        <f aca="false">INDEX(Tape_Property,10)</f>
        <v>Rise Spring Pointe</v>
      </c>
      <c r="C16" s="136" t="n">
        <v>0.885</v>
      </c>
      <c r="D16" s="136" t="n">
        <v>0.914</v>
      </c>
      <c r="E16" s="136" t="n">
        <v>0.902</v>
      </c>
      <c r="F16" s="136" t="n">
        <v>0.895</v>
      </c>
      <c r="G16" s="136" t="n">
        <v>0.896</v>
      </c>
      <c r="H16" s="136" t="n">
        <v>0.871</v>
      </c>
      <c r="I16" s="136" t="n">
        <v>0.852</v>
      </c>
      <c r="J16" s="66" t="n">
        <f aca="false">INDEX(Tape_Units,MATCH($B16,Tape_Property,0))</f>
        <v>323</v>
      </c>
    </row>
    <row r="17" customFormat="false" ht="15" hidden="false" customHeight="false" outlineLevel="0" collapsed="false">
      <c r="B17" s="61" t="str">
        <f aca="false">INDEX(Tape_Property,11)</f>
        <v>Rise Skyline</v>
      </c>
      <c r="C17" s="135" t="n">
        <v>0.947</v>
      </c>
      <c r="D17" s="135" t="n">
        <v>0.89</v>
      </c>
      <c r="E17" s="135" t="n">
        <v>0.911</v>
      </c>
      <c r="F17" s="135" t="n">
        <v>0.944</v>
      </c>
      <c r="G17" s="135" t="n">
        <v>0.933</v>
      </c>
      <c r="H17" s="135" t="n">
        <v>0.94</v>
      </c>
      <c r="I17" s="135" t="n">
        <v>0.946</v>
      </c>
      <c r="J17" s="57" t="n">
        <f aca="false">INDEX(Tape_Units,MATCH($B17,Tape_Property,0))</f>
        <v>200</v>
      </c>
    </row>
    <row r="18" customFormat="false" ht="15" hidden="false" customHeight="false" outlineLevel="0" collapsed="false">
      <c r="B18" s="65" t="str">
        <f aca="false">INDEX(Tape_Property,12)</f>
        <v>Rise Hillcrest</v>
      </c>
      <c r="C18" s="136" t="n">
        <v>0.891</v>
      </c>
      <c r="D18" s="136" t="n">
        <v>0.94</v>
      </c>
      <c r="E18" s="136" t="n">
        <v>0.926</v>
      </c>
      <c r="F18" s="136" t="n">
        <v>0.923</v>
      </c>
      <c r="G18" s="136" t="n">
        <v>0.912</v>
      </c>
      <c r="H18" s="136" t="n">
        <v>0.893</v>
      </c>
      <c r="I18" s="136" t="n">
        <v>0.888</v>
      </c>
      <c r="J18" s="66" t="n">
        <f aca="false">INDEX(Tape_Units,MATCH($B18,Tape_Property,0))</f>
        <v>224</v>
      </c>
    </row>
    <row r="19" customFormat="false" ht="15" hidden="false" customHeight="false" outlineLevel="0" collapsed="false">
      <c r="B19" s="61" t="str">
        <f aca="false">INDEX(Tape_Property,13)</f>
        <v>Rise on Cave Creek</v>
      </c>
      <c r="C19" s="135" t="n">
        <v>0.937</v>
      </c>
      <c r="D19" s="135" t="n">
        <v>0.895</v>
      </c>
      <c r="E19" s="135" t="n">
        <v>0.871</v>
      </c>
      <c r="F19" s="135" t="n">
        <v>0.897</v>
      </c>
      <c r="G19" s="135" t="n">
        <v>0.873</v>
      </c>
      <c r="H19" s="135" t="n">
        <v>0.863</v>
      </c>
      <c r="I19" s="135" t="n">
        <v>0.871</v>
      </c>
      <c r="J19" s="57" t="n">
        <f aca="false">INDEX(Tape_Units,MATCH($B19,Tape_Property,0))</f>
        <v>141</v>
      </c>
    </row>
    <row r="20" customFormat="false" ht="15" hidden="false" customHeight="false" outlineLevel="0" collapsed="false">
      <c r="B20" s="65" t="str">
        <f aca="false">INDEX(Tape_Property,14)</f>
        <v>Rise West Arlington</v>
      </c>
      <c r="C20" s="136" t="n">
        <v>0.903</v>
      </c>
      <c r="D20" s="136" t="n">
        <v>0.877</v>
      </c>
      <c r="E20" s="136" t="n">
        <v>0.872</v>
      </c>
      <c r="F20" s="136" t="n">
        <v>0.926</v>
      </c>
      <c r="G20" s="136" t="n">
        <v>0.975</v>
      </c>
      <c r="H20" s="136" t="n">
        <v>0.964</v>
      </c>
      <c r="I20" s="136" t="n">
        <v>0.93</v>
      </c>
      <c r="J20" s="66" t="n">
        <f aca="false">INDEX(Tape_Units,MATCH($B20,Tape_Property,0))</f>
        <v>220</v>
      </c>
    </row>
    <row r="21" customFormat="false" ht="15" hidden="false" customHeight="false" outlineLevel="0" collapsed="false">
      <c r="B21" s="61" t="str">
        <f aca="false">INDEX(Tape_Property,15)</f>
        <v>Rise Heather Ridge</v>
      </c>
      <c r="C21" s="135" t="n">
        <v>0.92</v>
      </c>
      <c r="D21" s="135" t="n">
        <v>0.867</v>
      </c>
      <c r="E21" s="135" t="n">
        <v>0.9</v>
      </c>
      <c r="F21" s="135" t="n">
        <v>0.933</v>
      </c>
      <c r="G21" s="135" t="n">
        <v>0.92</v>
      </c>
      <c r="H21" s="135" t="n">
        <v>0.903</v>
      </c>
      <c r="I21" s="135" t="n">
        <v>0.903</v>
      </c>
      <c r="J21" s="57" t="n">
        <f aca="false">INDEX(Tape_Units,MATCH($B21,Tape_Property,0))</f>
        <v>252</v>
      </c>
    </row>
    <row r="22" customFormat="false" ht="15" hidden="false" customHeight="false" outlineLevel="0" collapsed="false">
      <c r="B22" s="65" t="str">
        <f aca="false">INDEX(Tape_Property,16)</f>
        <v>Rise on Cactus</v>
      </c>
      <c r="C22" s="136" t="n">
        <v>0.912</v>
      </c>
      <c r="D22" s="136" t="n">
        <v>0.875</v>
      </c>
      <c r="E22" s="136" t="n">
        <v>0.896</v>
      </c>
      <c r="F22" s="136" t="n">
        <v>0.935</v>
      </c>
      <c r="G22" s="136" t="n">
        <v>0.945</v>
      </c>
      <c r="H22" s="136" t="n">
        <v>0.93</v>
      </c>
      <c r="I22" s="136" t="n">
        <v>0.94</v>
      </c>
      <c r="J22" s="66" t="n">
        <f aca="false">INDEX(Tape_Units,MATCH($B22,Tape_Property,0))</f>
        <v>124</v>
      </c>
    </row>
    <row r="23" customFormat="false" ht="15" hidden="false" customHeight="false" outlineLevel="0" collapsed="false">
      <c r="B23" s="61" t="str">
        <f aca="false">INDEX(Tape_Property,17)</f>
        <v>Rise on McClintock</v>
      </c>
      <c r="C23" s="135" t="n">
        <v>0.94</v>
      </c>
      <c r="D23" s="135" t="n">
        <v>0.94</v>
      </c>
      <c r="E23" s="135" t="n">
        <v>0.939</v>
      </c>
      <c r="F23" s="135" t="n">
        <v>0.942</v>
      </c>
      <c r="G23" s="135" t="n">
        <v>0.913</v>
      </c>
      <c r="H23" s="135" t="n">
        <v>0.911</v>
      </c>
      <c r="I23" s="135" t="n">
        <v>0.916</v>
      </c>
      <c r="J23" s="57" t="n">
        <f aca="false">INDEX(Tape_Units,MATCH($B23,Tape_Property,0))</f>
        <v>112</v>
      </c>
    </row>
    <row r="24" customFormat="false" ht="15" hidden="false" customHeight="false" outlineLevel="0" collapsed="false">
      <c r="B24" s="65" t="str">
        <f aca="false">INDEX(Tape_Property,18)</f>
        <v>Rise at Town East</v>
      </c>
      <c r="C24" s="136" t="n">
        <v>0.944</v>
      </c>
      <c r="D24" s="136" t="n">
        <v>0.888</v>
      </c>
      <c r="E24" s="136" t="n">
        <v>0.912</v>
      </c>
      <c r="F24" s="136" t="n">
        <v>0.934</v>
      </c>
      <c r="G24" s="136" t="n">
        <v>0.935</v>
      </c>
      <c r="H24" s="136" t="n">
        <v>0.947</v>
      </c>
      <c r="I24" s="136" t="n">
        <v>0.951</v>
      </c>
      <c r="J24" s="66" t="n">
        <f aca="false">INDEX(Tape_Units,MATCH($B24,Tape_Property,0))</f>
        <v>210</v>
      </c>
    </row>
    <row r="25" customFormat="false" ht="15" hidden="false" customHeight="false" outlineLevel="0" collapsed="false">
      <c r="B25" s="61" t="str">
        <f aca="false">INDEX(Tape_Property,19)</f>
        <v>Rise at the Meadows</v>
      </c>
      <c r="C25" s="135" t="n">
        <v>0.943</v>
      </c>
      <c r="D25" s="135" t="n">
        <v>0.91</v>
      </c>
      <c r="E25" s="135" t="n">
        <v>0.92</v>
      </c>
      <c r="F25" s="135" t="n">
        <v>0.944</v>
      </c>
      <c r="G25" s="135" t="n">
        <v>0.941</v>
      </c>
      <c r="H25" s="135" t="n">
        <v>0.915</v>
      </c>
      <c r="I25" s="135" t="n">
        <v>0.91</v>
      </c>
      <c r="J25" s="57" t="n">
        <f aca="false">INDEX(Tape_Units,MATCH($B25,Tape_Property,0))</f>
        <v>120</v>
      </c>
    </row>
    <row r="26" customFormat="false" ht="15" hidden="false" customHeight="false" outlineLevel="0" collapsed="false">
      <c r="B26" s="65" t="str">
        <f aca="false">INDEX(Tape_Property,20)</f>
        <v>Rise Oak Creek</v>
      </c>
      <c r="C26" s="136" t="n">
        <v>0.913</v>
      </c>
      <c r="D26" s="136" t="n">
        <v>0.895</v>
      </c>
      <c r="E26" s="136" t="n">
        <v>0.895</v>
      </c>
      <c r="F26" s="136" t="n">
        <v>0.936</v>
      </c>
      <c r="G26" s="136" t="n">
        <v>0.95</v>
      </c>
      <c r="H26" s="136" t="n">
        <v>0.963</v>
      </c>
      <c r="I26" s="136" t="n">
        <v>0.954</v>
      </c>
      <c r="J26" s="66" t="n">
        <f aca="false">INDEX(Tape_Units,MATCH($B26,Tape_Property,0))</f>
        <v>176</v>
      </c>
    </row>
    <row r="27" customFormat="false" ht="15" hidden="false" customHeight="false" outlineLevel="0" collapsed="false">
      <c r="B27" s="61" t="str">
        <f aca="false">INDEX(Tape_Property,21)</f>
        <v>Rise North Arlington</v>
      </c>
      <c r="C27" s="135" t="n">
        <v>0.884</v>
      </c>
      <c r="D27" s="135" t="n">
        <v>0.819</v>
      </c>
      <c r="E27" s="135" t="n">
        <v>0.857</v>
      </c>
      <c r="F27" s="135" t="n">
        <v>0.85</v>
      </c>
      <c r="G27" s="135" t="n">
        <v>0.814</v>
      </c>
      <c r="H27" s="135" t="n">
        <v>0.808</v>
      </c>
      <c r="I27" s="135" t="n">
        <v>0.835</v>
      </c>
      <c r="J27" s="57" t="n">
        <f aca="false">INDEX(Tape_Units,MATCH($B27,Tape_Property,0))</f>
        <v>262</v>
      </c>
    </row>
    <row r="28" customFormat="false" ht="15" hidden="false" customHeight="false" outlineLevel="0" collapsed="false">
      <c r="B28" s="65" t="str">
        <f aca="false">INDEX(Tape_Property,22)</f>
        <v>Rise Gateway</v>
      </c>
      <c r="C28" s="136" t="n">
        <v>0.931</v>
      </c>
      <c r="D28" s="136" t="n">
        <v>0.918</v>
      </c>
      <c r="E28" s="136" t="n">
        <v>0.947</v>
      </c>
      <c r="F28" s="136" t="n">
        <v>0.951</v>
      </c>
      <c r="G28" s="136" t="n">
        <v>0.935</v>
      </c>
      <c r="H28" s="136" t="n">
        <v>0.922</v>
      </c>
      <c r="I28" s="136" t="n">
        <v>0.918</v>
      </c>
      <c r="J28" s="66" t="n">
        <f aca="false">INDEX(Tape_Units,MATCH($B28,Tape_Property,0))</f>
        <v>142</v>
      </c>
    </row>
    <row r="29" customFormat="false" ht="15" hidden="false" customHeight="false" outlineLevel="0" collapsed="false">
      <c r="B29" s="61" t="str">
        <f aca="false">INDEX(Tape_Property,23)</f>
        <v>Rise Matthews Pointe</v>
      </c>
      <c r="C29" s="135" t="n">
        <v>0.889</v>
      </c>
      <c r="D29" s="135" t="n">
        <v>0.929</v>
      </c>
      <c r="E29" s="135" t="n">
        <v>0.927</v>
      </c>
      <c r="F29" s="135" t="n">
        <v>0.931</v>
      </c>
      <c r="G29" s="135" t="n">
        <v>0.947</v>
      </c>
      <c r="H29" s="135" t="n">
        <v>0.927</v>
      </c>
      <c r="I29" s="135" t="n">
        <v>0.935</v>
      </c>
      <c r="J29" s="57" t="n">
        <f aca="false">INDEX(Tape_Units,MATCH($B29,Tape_Property,0))</f>
        <v>100</v>
      </c>
    </row>
    <row r="30" customFormat="false" ht="15" hidden="false" customHeight="false" outlineLevel="0" collapsed="false">
      <c r="B30" s="41" t="s">
        <v>185</v>
      </c>
      <c r="C30" s="137" t="n">
        <f aca="false">SUMPRODUCT(C7:C29,$J7:$J29)/$J30</f>
        <v>0.922972359735974</v>
      </c>
      <c r="D30" s="137" t="n">
        <f aca="false">SUMPRODUCT(D7:D29,$J7:$J29)/$J30</f>
        <v>0.893660272277228</v>
      </c>
      <c r="E30" s="137" t="n">
        <f aca="false">SUMPRODUCT(E7:E29,$J7:$J29)/$J30</f>
        <v>0.900368605610561</v>
      </c>
      <c r="F30" s="137" t="n">
        <f aca="false">SUMPRODUCT(F7:F29,$J7:$J29)/$J30</f>
        <v>0.918835808580858</v>
      </c>
      <c r="G30" s="137" t="n">
        <f aca="false">SUMPRODUCT(G7:G29,$J7:$J29)/$J30</f>
        <v>0.916772070957096</v>
      </c>
      <c r="H30" s="137" t="n">
        <f aca="false">SUMPRODUCT(H7:H29,$J7:$J29)/$J30</f>
        <v>0.913006188118812</v>
      </c>
      <c r="I30" s="137" t="n">
        <f aca="false">SUMPRODUCT(I7:I29,$J7:$J29)/$J30</f>
        <v>0.912668110561056</v>
      </c>
      <c r="J30" s="47" t="n">
        <f aca="false">SUM(J7:J29)</f>
        <v>4848</v>
      </c>
    </row>
    <row r="33" customFormat="false" ht="15" hidden="false" customHeight="false" outlineLevel="0" collapsed="false">
      <c r="B33" s="52" t="s">
        <v>592</v>
      </c>
    </row>
    <row r="34" customFormat="false" ht="27.75" hidden="false" customHeight="true" outlineLevel="0" collapsed="false">
      <c r="B34" s="22" t="s">
        <v>394</v>
      </c>
      <c r="C34" s="22" t="s">
        <v>231</v>
      </c>
      <c r="D34" s="22" t="s">
        <v>232</v>
      </c>
      <c r="E34" s="22" t="s">
        <v>233</v>
      </c>
      <c r="F34" s="22" t="s">
        <v>588</v>
      </c>
      <c r="G34" s="22" t="s">
        <v>589</v>
      </c>
      <c r="H34" s="22" t="s">
        <v>590</v>
      </c>
      <c r="I34" s="22" t="s">
        <v>591</v>
      </c>
      <c r="J34" s="22" t="s">
        <v>41</v>
      </c>
    </row>
    <row r="35" customFormat="false" ht="15" hidden="false" customHeight="false" outlineLevel="0" collapsed="false">
      <c r="B35" s="61" t="str">
        <f aca="false">INDEX(Tape_Property,1)</f>
        <v>Rise Broadway</v>
      </c>
      <c r="C35" s="135" t="n">
        <v>0.944</v>
      </c>
      <c r="D35" s="135" t="n">
        <v>0.929</v>
      </c>
      <c r="E35" s="135" t="n">
        <v>0.917</v>
      </c>
      <c r="F35" s="135" t="n">
        <v>0.92</v>
      </c>
      <c r="G35" s="135" t="n">
        <v>0.929</v>
      </c>
      <c r="H35" s="135" t="n">
        <v>0.924</v>
      </c>
      <c r="I35" s="135" t="n">
        <v>0.892</v>
      </c>
      <c r="J35" s="57" t="n">
        <f aca="false">INDEX(Tape_Units,MATCH($B35,Tape_Property,0))</f>
        <v>288</v>
      </c>
    </row>
    <row r="36" customFormat="false" ht="15" hidden="false" customHeight="false" outlineLevel="0" collapsed="false">
      <c r="B36" s="65" t="str">
        <f aca="false">INDEX(Tape_Property,2)</f>
        <v>Rise Bedford Lake</v>
      </c>
      <c r="C36" s="136" t="n">
        <v>0.899</v>
      </c>
      <c r="D36" s="136" t="n">
        <v>0.88</v>
      </c>
      <c r="E36" s="136" t="n">
        <v>0.912</v>
      </c>
      <c r="F36" s="136" t="n">
        <v>0.92</v>
      </c>
      <c r="G36" s="136" t="n">
        <v>0.95</v>
      </c>
      <c r="H36" s="136" t="n">
        <v>0.938</v>
      </c>
      <c r="I36" s="136" t="n">
        <v>0.936</v>
      </c>
      <c r="J36" s="66" t="n">
        <f aca="false">INDEX(Tape_Units,MATCH($B36,Tape_Property,0))</f>
        <v>360</v>
      </c>
    </row>
    <row r="37" customFormat="false" ht="15" hidden="false" customHeight="false" outlineLevel="0" collapsed="false">
      <c r="B37" s="61" t="str">
        <f aca="false">INDEX(Tape_Property,3)</f>
        <v>Rise Creekside</v>
      </c>
      <c r="C37" s="135" t="n">
        <v>0.865</v>
      </c>
      <c r="D37" s="135" t="n">
        <v>0.887</v>
      </c>
      <c r="E37" s="135" t="n">
        <v>0.908</v>
      </c>
      <c r="F37" s="135" t="n">
        <v>0.904</v>
      </c>
      <c r="G37" s="135" t="n">
        <v>0.922</v>
      </c>
      <c r="H37" s="135" t="n">
        <v>0.916</v>
      </c>
      <c r="I37" s="135" t="n">
        <v>0.952</v>
      </c>
      <c r="J37" s="57" t="n">
        <f aca="false">INDEX(Tape_Units,MATCH($B37,Tape_Property,0))</f>
        <v>228</v>
      </c>
    </row>
    <row r="38" customFormat="false" ht="15" hidden="false" customHeight="false" outlineLevel="0" collapsed="false">
      <c r="B38" s="65" t="str">
        <f aca="false">INDEX(Tape_Property,4)</f>
        <v>Rise Bridgeview</v>
      </c>
      <c r="C38" s="136" t="n">
        <v>0.954</v>
      </c>
      <c r="D38" s="136" t="n">
        <v>0.91</v>
      </c>
      <c r="E38" s="136" t="n">
        <v>0.918</v>
      </c>
      <c r="F38" s="136" t="n">
        <v>0.939</v>
      </c>
      <c r="G38" s="136" t="n">
        <v>0.944</v>
      </c>
      <c r="H38" s="136" t="n">
        <v>0.938</v>
      </c>
      <c r="I38" s="136" t="n">
        <v>0.925</v>
      </c>
      <c r="J38" s="66" t="n">
        <f aca="false">INDEX(Tape_Units,MATCH($B38,Tape_Property,0))</f>
        <v>240</v>
      </c>
    </row>
    <row r="39" customFormat="false" ht="15" hidden="false" customHeight="false" outlineLevel="0" collapsed="false">
      <c r="B39" s="61" t="str">
        <f aca="false">INDEX(Tape_Property,5)</f>
        <v>Rise Suncrest</v>
      </c>
      <c r="C39" s="135" t="n">
        <v>0.963</v>
      </c>
      <c r="D39" s="135" t="n">
        <v>0.921</v>
      </c>
      <c r="E39" s="135" t="n">
        <v>0.921</v>
      </c>
      <c r="F39" s="135" t="n">
        <v>0.934</v>
      </c>
      <c r="G39" s="135" t="n">
        <v>0.961</v>
      </c>
      <c r="H39" s="135" t="n">
        <v>0.957</v>
      </c>
      <c r="I39" s="135" t="n">
        <v>0.944</v>
      </c>
      <c r="J39" s="57" t="n">
        <f aca="false">INDEX(Tape_Units,MATCH($B39,Tape_Property,0))</f>
        <v>160</v>
      </c>
    </row>
    <row r="40" customFormat="false" ht="15" hidden="false" customHeight="false" outlineLevel="0" collapsed="false">
      <c r="B40" s="65" t="str">
        <f aca="false">INDEX(Tape_Property,6)</f>
        <v>Rise Desert Cove</v>
      </c>
      <c r="C40" s="136" t="n">
        <v>0.957</v>
      </c>
      <c r="D40" s="136" t="n">
        <v>0.933</v>
      </c>
      <c r="E40" s="136" t="n">
        <v>0.936</v>
      </c>
      <c r="F40" s="136" t="n">
        <v>0.943</v>
      </c>
      <c r="G40" s="136" t="n">
        <v>0.97</v>
      </c>
      <c r="H40" s="136" t="n">
        <v>0.978</v>
      </c>
      <c r="I40" s="136" t="n">
        <v>0.946</v>
      </c>
      <c r="J40" s="66" t="n">
        <f aca="false">INDEX(Tape_Units,MATCH($B40,Tape_Property,0))</f>
        <v>186</v>
      </c>
    </row>
    <row r="41" customFormat="false" ht="15" hidden="false" customHeight="false" outlineLevel="0" collapsed="false">
      <c r="B41" s="61" t="str">
        <f aca="false">INDEX(Tape_Property,7)</f>
        <v>Rise Fossil Creek</v>
      </c>
      <c r="C41" s="135" t="n">
        <v>0.927</v>
      </c>
      <c r="D41" s="135" t="n">
        <v>0.913</v>
      </c>
      <c r="E41" s="135" t="n">
        <v>0.912</v>
      </c>
      <c r="F41" s="135" t="n">
        <v>0.911</v>
      </c>
      <c r="G41" s="135" t="n">
        <v>0.926</v>
      </c>
      <c r="H41" s="135" t="n">
        <v>0.934</v>
      </c>
      <c r="I41" s="135" t="n">
        <v>0.924</v>
      </c>
      <c r="J41" s="57" t="n">
        <f aca="false">INDEX(Tape_Units,MATCH($B41,Tape_Property,0))</f>
        <v>288</v>
      </c>
    </row>
    <row r="42" customFormat="false" ht="15" hidden="false" customHeight="false" outlineLevel="0" collapsed="false">
      <c r="B42" s="65" t="str">
        <f aca="false">INDEX(Tape_Property,8)</f>
        <v>Rise Desert West</v>
      </c>
      <c r="C42" s="136" t="n">
        <v>0.958</v>
      </c>
      <c r="D42" s="136" t="n">
        <v>0.93</v>
      </c>
      <c r="E42" s="136" t="n">
        <v>0.91</v>
      </c>
      <c r="F42" s="136" t="n">
        <v>0.901</v>
      </c>
      <c r="G42" s="136" t="n">
        <v>0.944</v>
      </c>
      <c r="H42" s="136" t="n">
        <v>0.935</v>
      </c>
      <c r="I42" s="136" t="n">
        <v>0.946</v>
      </c>
      <c r="J42" s="66" t="n">
        <f aca="false">INDEX(Tape_Units,MATCH($B42,Tape_Property,0))</f>
        <v>204</v>
      </c>
    </row>
    <row r="43" customFormat="false" ht="15" hidden="false" customHeight="false" outlineLevel="0" collapsed="false">
      <c r="B43" s="61" t="str">
        <f aca="false">INDEX(Tape_Property,9)</f>
        <v>Rise Lakeside</v>
      </c>
      <c r="C43" s="135" t="n">
        <v>0.886</v>
      </c>
      <c r="D43" s="135" t="n">
        <v>0.862</v>
      </c>
      <c r="E43" s="135" t="n">
        <v>0.811</v>
      </c>
      <c r="F43" s="135" t="n">
        <v>0.783</v>
      </c>
      <c r="G43" s="135" t="n">
        <v>0.801</v>
      </c>
      <c r="H43" s="135" t="n">
        <v>0.832</v>
      </c>
      <c r="I43" s="135" t="n">
        <v>0.875</v>
      </c>
      <c r="J43" s="57" t="n">
        <f aca="false">INDEX(Tape_Units,MATCH($B43,Tape_Property,0))</f>
        <v>288</v>
      </c>
    </row>
    <row r="44" customFormat="false" ht="15" hidden="false" customHeight="false" outlineLevel="0" collapsed="false">
      <c r="B44" s="65" t="str">
        <f aca="false">INDEX(Tape_Property,10)</f>
        <v>Rise Spring Pointe</v>
      </c>
      <c r="C44" s="136" t="n">
        <v>0.875</v>
      </c>
      <c r="D44" s="136" t="n">
        <v>0.916</v>
      </c>
      <c r="E44" s="136" t="n">
        <v>0.915</v>
      </c>
      <c r="F44" s="136" t="n">
        <v>0.889</v>
      </c>
      <c r="G44" s="136" t="n">
        <v>0.895</v>
      </c>
      <c r="H44" s="136" t="n">
        <v>0.888</v>
      </c>
      <c r="I44" s="136" t="n">
        <v>0.861</v>
      </c>
      <c r="J44" s="66" t="n">
        <f aca="false">INDEX(Tape_Units,MATCH($B44,Tape_Property,0))</f>
        <v>323</v>
      </c>
    </row>
    <row r="45" customFormat="false" ht="15" hidden="false" customHeight="false" outlineLevel="0" collapsed="false">
      <c r="B45" s="61" t="str">
        <f aca="false">INDEX(Tape_Property,11)</f>
        <v>Rise Skyline</v>
      </c>
      <c r="C45" s="135" t="n">
        <v>0.946</v>
      </c>
      <c r="D45" s="135" t="n">
        <v>0.891</v>
      </c>
      <c r="E45" s="135" t="n">
        <v>0.901</v>
      </c>
      <c r="F45" s="135" t="n">
        <v>0.919</v>
      </c>
      <c r="G45" s="135" t="n">
        <v>0.954</v>
      </c>
      <c r="H45" s="135" t="n">
        <v>0.949</v>
      </c>
      <c r="I45" s="135" t="n">
        <v>0.95</v>
      </c>
      <c r="J45" s="57" t="n">
        <f aca="false">INDEX(Tape_Units,MATCH($B45,Tape_Property,0))</f>
        <v>200</v>
      </c>
    </row>
    <row r="46" customFormat="false" ht="15" hidden="false" customHeight="false" outlineLevel="0" collapsed="false">
      <c r="B46" s="65" t="str">
        <f aca="false">INDEX(Tape_Property,12)</f>
        <v>Rise Hillcrest</v>
      </c>
      <c r="C46" s="136" t="n">
        <v>0.929</v>
      </c>
      <c r="D46" s="136" t="n">
        <v>0.947</v>
      </c>
      <c r="E46" s="136" t="n">
        <v>0.941</v>
      </c>
      <c r="F46" s="136" t="n">
        <v>0.94</v>
      </c>
      <c r="G46" s="136" t="n">
        <v>0.939</v>
      </c>
      <c r="H46" s="136" t="n">
        <v>0.937</v>
      </c>
      <c r="I46" s="136" t="n">
        <v>0.879</v>
      </c>
      <c r="J46" s="66" t="n">
        <f aca="false">INDEX(Tape_Units,MATCH($B46,Tape_Property,0))</f>
        <v>224</v>
      </c>
    </row>
    <row r="47" customFormat="false" ht="15" hidden="false" customHeight="false" outlineLevel="0" collapsed="false">
      <c r="B47" s="61" t="str">
        <f aca="false">INDEX(Tape_Property,13)</f>
        <v>Rise on Cave Creek</v>
      </c>
      <c r="C47" s="135" t="n">
        <v>0.95</v>
      </c>
      <c r="D47" s="135" t="n">
        <v>0.911</v>
      </c>
      <c r="E47" s="135" t="n">
        <v>0.895</v>
      </c>
      <c r="F47" s="135" t="n">
        <v>0.907</v>
      </c>
      <c r="G47" s="135" t="n">
        <v>0.934</v>
      </c>
      <c r="H47" s="135" t="n">
        <v>0.922</v>
      </c>
      <c r="I47" s="135" t="n">
        <v>0.879</v>
      </c>
      <c r="J47" s="57" t="n">
        <f aca="false">INDEX(Tape_Units,MATCH($B47,Tape_Property,0))</f>
        <v>141</v>
      </c>
    </row>
    <row r="48" customFormat="false" ht="15" hidden="false" customHeight="false" outlineLevel="0" collapsed="false">
      <c r="B48" s="65" t="str">
        <f aca="false">INDEX(Tape_Property,14)</f>
        <v>Rise West Arlington</v>
      </c>
      <c r="C48" s="136" t="n">
        <v>0.933</v>
      </c>
      <c r="D48" s="136" t="n">
        <v>0.873</v>
      </c>
      <c r="E48" s="136" t="n">
        <v>0.862</v>
      </c>
      <c r="F48" s="136" t="n">
        <v>0.875</v>
      </c>
      <c r="G48" s="136" t="n">
        <v>0.942</v>
      </c>
      <c r="H48" s="136" t="n">
        <v>0.982</v>
      </c>
      <c r="I48" s="136" t="n">
        <v>0.932</v>
      </c>
      <c r="J48" s="66" t="n">
        <f aca="false">INDEX(Tape_Units,MATCH($B48,Tape_Property,0))</f>
        <v>220</v>
      </c>
    </row>
    <row r="49" customFormat="false" ht="15" hidden="false" customHeight="false" outlineLevel="0" collapsed="false">
      <c r="B49" s="61" t="str">
        <f aca="false">INDEX(Tape_Property,15)</f>
        <v>Rise Heather Ridge</v>
      </c>
      <c r="C49" s="135" t="n">
        <v>0.887</v>
      </c>
      <c r="D49" s="135" t="n">
        <v>0.868</v>
      </c>
      <c r="E49" s="135" t="n">
        <v>0.893</v>
      </c>
      <c r="F49" s="135" t="n">
        <v>0.903</v>
      </c>
      <c r="G49" s="135" t="n">
        <v>0.947</v>
      </c>
      <c r="H49" s="135" t="n">
        <v>0.956</v>
      </c>
      <c r="I49" s="135" t="n">
        <v>0.913</v>
      </c>
      <c r="J49" s="57" t="n">
        <f aca="false">INDEX(Tape_Units,MATCH($B49,Tape_Property,0))</f>
        <v>252</v>
      </c>
    </row>
    <row r="50" customFormat="false" ht="15" hidden="false" customHeight="false" outlineLevel="0" collapsed="false">
      <c r="B50" s="65" t="str">
        <f aca="false">INDEX(Tape_Property,16)</f>
        <v>Rise on Cactus</v>
      </c>
      <c r="C50" s="136" t="n">
        <v>0.911</v>
      </c>
      <c r="D50" s="136" t="n">
        <v>0.883</v>
      </c>
      <c r="E50" s="136" t="n">
        <v>0.885</v>
      </c>
      <c r="F50" s="136" t="n">
        <v>0.905</v>
      </c>
      <c r="G50" s="136" t="n">
        <v>0.925</v>
      </c>
      <c r="H50" s="136" t="n">
        <v>0.909</v>
      </c>
      <c r="I50" s="136" t="n">
        <v>0.944</v>
      </c>
      <c r="J50" s="66" t="n">
        <f aca="false">INDEX(Tape_Units,MATCH($B50,Tape_Property,0))</f>
        <v>124</v>
      </c>
    </row>
    <row r="51" customFormat="false" ht="15" hidden="false" customHeight="false" outlineLevel="0" collapsed="false">
      <c r="B51" s="61" t="str">
        <f aca="false">INDEX(Tape_Property,17)</f>
        <v>Rise on McClintock</v>
      </c>
      <c r="C51" s="135" t="n">
        <v>0.943</v>
      </c>
      <c r="D51" s="135" t="n">
        <v>0.943</v>
      </c>
      <c r="E51" s="135" t="n">
        <v>0.942</v>
      </c>
      <c r="F51" s="135" t="n">
        <v>0.954</v>
      </c>
      <c r="G51" s="135" t="n">
        <v>0.971</v>
      </c>
      <c r="H51" s="135" t="n">
        <v>0.955</v>
      </c>
      <c r="I51" s="135" t="n">
        <v>0.92</v>
      </c>
      <c r="J51" s="57" t="n">
        <f aca="false">INDEX(Tape_Units,MATCH($B51,Tape_Property,0))</f>
        <v>112</v>
      </c>
    </row>
    <row r="52" customFormat="false" ht="15" hidden="false" customHeight="false" outlineLevel="0" collapsed="false">
      <c r="B52" s="65" t="str">
        <f aca="false">INDEX(Tape_Property,18)</f>
        <v>Rise at Town East</v>
      </c>
      <c r="C52" s="136" t="n">
        <v>0.928</v>
      </c>
      <c r="D52" s="136" t="n">
        <v>0.888</v>
      </c>
      <c r="E52" s="136" t="n">
        <v>0.899</v>
      </c>
      <c r="F52" s="136" t="n">
        <v>0.921</v>
      </c>
      <c r="G52" s="136" t="n">
        <v>0.934</v>
      </c>
      <c r="H52" s="136" t="n">
        <v>0.928</v>
      </c>
      <c r="I52" s="136" t="n">
        <v>0.957</v>
      </c>
      <c r="J52" s="66" t="n">
        <f aca="false">INDEX(Tape_Units,MATCH($B52,Tape_Property,0))</f>
        <v>210</v>
      </c>
    </row>
    <row r="53" customFormat="false" ht="15" hidden="false" customHeight="false" outlineLevel="0" collapsed="false">
      <c r="B53" s="61" t="str">
        <f aca="false">INDEX(Tape_Property,19)</f>
        <v>Rise at the Meadows</v>
      </c>
      <c r="C53" s="135" t="n">
        <v>0.926</v>
      </c>
      <c r="D53" s="135" t="n">
        <v>0.91</v>
      </c>
      <c r="E53" s="135" t="n">
        <v>0.914</v>
      </c>
      <c r="F53" s="135" t="n">
        <v>0.937</v>
      </c>
      <c r="G53" s="135" t="n">
        <v>0.948</v>
      </c>
      <c r="H53" s="135" t="n">
        <v>0.966</v>
      </c>
      <c r="I53" s="135" t="n">
        <v>0.908</v>
      </c>
      <c r="J53" s="57" t="n">
        <f aca="false">INDEX(Tape_Units,MATCH($B53,Tape_Property,0))</f>
        <v>120</v>
      </c>
    </row>
    <row r="54" customFormat="false" ht="15" hidden="false" customHeight="false" outlineLevel="0" collapsed="false">
      <c r="B54" s="65" t="str">
        <f aca="false">INDEX(Tape_Property,20)</f>
        <v>Rise Oak Creek</v>
      </c>
      <c r="C54" s="136" t="n">
        <v>0.903</v>
      </c>
      <c r="D54" s="136" t="n">
        <v>0.898</v>
      </c>
      <c r="E54" s="136" t="n">
        <v>0.89</v>
      </c>
      <c r="F54" s="136" t="n">
        <v>0.888</v>
      </c>
      <c r="G54" s="136" t="n">
        <v>0.922</v>
      </c>
      <c r="H54" s="136" t="n">
        <v>0.915</v>
      </c>
      <c r="I54" s="136" t="n">
        <v>0.955</v>
      </c>
      <c r="J54" s="66" t="n">
        <f aca="false">INDEX(Tape_Units,MATCH($B54,Tape_Property,0))</f>
        <v>176</v>
      </c>
    </row>
    <row r="55" customFormat="false" ht="15" hidden="false" customHeight="false" outlineLevel="0" collapsed="false">
      <c r="B55" s="61" t="str">
        <f aca="false">INDEX(Tape_Property,21)</f>
        <v>Rise North Arlington</v>
      </c>
      <c r="C55" s="135" t="n">
        <v>0.826</v>
      </c>
      <c r="D55" s="135" t="n">
        <v>0.796</v>
      </c>
      <c r="E55" s="135" t="n">
        <v>0.826</v>
      </c>
      <c r="F55" s="135" t="n">
        <v>0.862</v>
      </c>
      <c r="G55" s="135" t="n">
        <v>0.888</v>
      </c>
      <c r="H55" s="135" t="n">
        <v>0.875</v>
      </c>
      <c r="I55" s="135" t="n">
        <v>0.851</v>
      </c>
      <c r="J55" s="57" t="n">
        <f aca="false">INDEX(Tape_Units,MATCH($B55,Tape_Property,0))</f>
        <v>262</v>
      </c>
    </row>
    <row r="56" customFormat="false" ht="15" hidden="false" customHeight="false" outlineLevel="0" collapsed="false">
      <c r="B56" s="65" t="str">
        <f aca="false">INDEX(Tape_Property,22)</f>
        <v>Rise Gateway</v>
      </c>
      <c r="C56" s="136" t="n">
        <v>0.908</v>
      </c>
      <c r="D56" s="136" t="n">
        <v>0.93</v>
      </c>
      <c r="E56" s="136" t="n">
        <v>0.952</v>
      </c>
      <c r="F56" s="136" t="n">
        <v>0.968</v>
      </c>
      <c r="G56" s="136" t="n">
        <v>0.979</v>
      </c>
      <c r="H56" s="136" t="n">
        <v>0.972</v>
      </c>
      <c r="I56" s="136" t="n">
        <v>0.923</v>
      </c>
      <c r="J56" s="66" t="n">
        <f aca="false">INDEX(Tape_Units,MATCH($B56,Tape_Property,0))</f>
        <v>142</v>
      </c>
    </row>
    <row r="57" customFormat="false" ht="15" hidden="false" customHeight="false" outlineLevel="0" collapsed="false">
      <c r="B57" s="61" t="str">
        <f aca="false">INDEX(Tape_Property,23)</f>
        <v>Rise Matthews Pointe</v>
      </c>
      <c r="C57" s="135" t="n">
        <v>0.926</v>
      </c>
      <c r="D57" s="135" t="n">
        <v>0.933</v>
      </c>
      <c r="E57" s="135" t="n">
        <v>0.925</v>
      </c>
      <c r="F57" s="135" t="n">
        <v>0.924</v>
      </c>
      <c r="G57" s="135" t="n">
        <v>0.915</v>
      </c>
      <c r="H57" s="135" t="n">
        <v>0.9</v>
      </c>
      <c r="I57" s="135" t="n">
        <v>0.93</v>
      </c>
      <c r="J57" s="57" t="n">
        <f aca="false">INDEX(Tape_Units,MATCH($B57,Tape_Property,0))</f>
        <v>100</v>
      </c>
    </row>
    <row r="58" customFormat="false" ht="15" hidden="false" customHeight="false" outlineLevel="0" collapsed="false">
      <c r="B58" s="41" t="s">
        <v>185</v>
      </c>
      <c r="C58" s="137" t="n">
        <f aca="false">SUMPRODUCT(C35:C57,$J35:$J57)/$J58</f>
        <v>0.914905321782178</v>
      </c>
      <c r="D58" s="137" t="n">
        <f aca="false">SUMPRODUCT(D35:D57,$J35:$J57)/$J58</f>
        <v>0.898307962046205</v>
      </c>
      <c r="E58" s="137" t="n">
        <f aca="false">SUMPRODUCT(E35:E57,$J35:$J57)/$J58</f>
        <v>0.900356848184819</v>
      </c>
      <c r="F58" s="137" t="n">
        <f aca="false">SUMPRODUCT(F35:F57,$J35:$J57)/$J58</f>
        <v>0.905631600660066</v>
      </c>
      <c r="G58" s="137" t="n">
        <f aca="false">SUMPRODUCT(G35:G57,$J35:$J57)/$J58</f>
        <v>0.927610767326733</v>
      </c>
      <c r="H58" s="137" t="n">
        <f aca="false">SUMPRODUCT(H35:H57,$J35:$J57)/$J58</f>
        <v>0.927061056105611</v>
      </c>
      <c r="I58" s="137" t="n">
        <f aca="false">SUMPRODUCT(I35:I57,$J35:$J57)/$J58</f>
        <v>0.915881188118812</v>
      </c>
      <c r="J58" s="47" t="n">
        <f aca="false">SUM(J35:J57)</f>
        <v>4848</v>
      </c>
    </row>
    <row r="60" customFormat="false" ht="15" hidden="false" customHeight="false" outlineLevel="0" collapsed="false">
      <c r="B60" s="19" t="s">
        <v>593</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&amp;L&amp;7 &amp;K9aa0a8CONFIDENTIAL&amp;R&amp;7 &amp;K9aa0a8&amp;P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B1:K3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2"/>
    <col collapsed="false" customWidth="true" hidden="false" outlineLevel="0" max="7" min="4" style="0" width="13"/>
    <col collapsed="false" customWidth="true" hidden="false" outlineLevel="0" max="8" min="8" style="0" width="14"/>
    <col collapsed="false" customWidth="true" hidden="false" outlineLevel="0" max="10" min="9" style="0" width="11"/>
    <col collapsed="false" customWidth="true" hidden="false" outlineLevel="0" max="11" min="11" style="0" width="9"/>
  </cols>
  <sheetData>
    <row r="1" customFormat="false" ht="15" hidden="false" customHeight="false" outlineLevel="0" collapsed="false">
      <c r="B1" s="1" t="s">
        <v>594</v>
      </c>
      <c r="C1" s="4"/>
      <c r="D1" s="4"/>
      <c r="E1" s="4"/>
      <c r="F1" s="4"/>
      <c r="G1" s="4"/>
      <c r="H1" s="4"/>
      <c r="I1" s="4"/>
      <c r="J1" s="4"/>
      <c r="K1" s="4"/>
    </row>
    <row r="2" customFormat="false" ht="15" hidden="false" customHeight="false" outlineLevel="0" collapsed="false">
      <c r="B2" s="19" t="s">
        <v>595</v>
      </c>
    </row>
    <row r="5" customFormat="false" ht="27.75" hidden="false" customHeight="true" outlineLevel="0" collapsed="false">
      <c r="B5" s="22" t="s">
        <v>394</v>
      </c>
      <c r="C5" s="22" t="s">
        <v>517</v>
      </c>
      <c r="D5" s="22" t="s">
        <v>596</v>
      </c>
      <c r="E5" s="22" t="s">
        <v>231</v>
      </c>
      <c r="F5" s="22" t="s">
        <v>232</v>
      </c>
      <c r="G5" s="22" t="s">
        <v>597</v>
      </c>
      <c r="H5" s="22" t="s">
        <v>598</v>
      </c>
      <c r="I5" s="22" t="s">
        <v>134</v>
      </c>
      <c r="J5" s="22" t="s">
        <v>599</v>
      </c>
      <c r="K5" s="22" t="s">
        <v>41</v>
      </c>
    </row>
    <row r="6" customFormat="false" ht="15" hidden="false" customHeight="false" outlineLevel="0" collapsed="false">
      <c r="B6" s="61" t="str">
        <f aca="false">INDEX(Tape_Property,1)</f>
        <v>Rise Broadway</v>
      </c>
      <c r="C6" s="138" t="n">
        <f aca="false">INDEX(Tape_AcqDate,MATCH($B6,Tape_Property,0))</f>
        <v>44682</v>
      </c>
      <c r="D6" s="28" t="n">
        <v>1270889</v>
      </c>
      <c r="E6" s="28" t="n">
        <v>414736</v>
      </c>
      <c r="F6" s="28" t="n">
        <v>257919</v>
      </c>
      <c r="G6" s="28" t="n">
        <v>133457</v>
      </c>
      <c r="H6" s="25" t="n">
        <f aca="false">SUM(D6:G6)</f>
        <v>2077001</v>
      </c>
      <c r="I6" s="25" t="n">
        <f aca="false">H6/K6</f>
        <v>7211.80902777778</v>
      </c>
      <c r="J6" s="26" t="n">
        <f aca="false">H6/$H$29</f>
        <v>0.0396644961966884</v>
      </c>
      <c r="K6" s="57" t="n">
        <f aca="false">INDEX(Tape_Units,MATCH($B6,Tape_Property,0))</f>
        <v>288</v>
      </c>
    </row>
    <row r="7" customFormat="false" ht="15" hidden="false" customHeight="false" outlineLevel="0" collapsed="false">
      <c r="B7" s="65" t="str">
        <f aca="false">INDEX(Tape_Property,2)</f>
        <v>Rise Bedford Lake</v>
      </c>
      <c r="C7" s="139" t="n">
        <f aca="false">INDEX(Tape_AcqDate,MATCH($B7,Tape_Property,0))</f>
        <v>45017</v>
      </c>
      <c r="D7" s="37" t="n">
        <v>2060262</v>
      </c>
      <c r="E7" s="37" t="n">
        <v>1314515</v>
      </c>
      <c r="F7" s="37" t="n">
        <v>758441</v>
      </c>
      <c r="G7" s="37" t="n">
        <v>204898</v>
      </c>
      <c r="H7" s="32" t="n">
        <f aca="false">SUM(D7:G7)</f>
        <v>4338116</v>
      </c>
      <c r="I7" s="32" t="n">
        <f aca="false">H7/K7</f>
        <v>12050.3222222222</v>
      </c>
      <c r="J7" s="34" t="n">
        <f aca="false">H7/$H$29</f>
        <v>0.0828450181693669</v>
      </c>
      <c r="K7" s="66" t="n">
        <f aca="false">INDEX(Tape_Units,MATCH($B7,Tape_Property,0))</f>
        <v>360</v>
      </c>
    </row>
    <row r="8" customFormat="false" ht="15" hidden="false" customHeight="false" outlineLevel="0" collapsed="false">
      <c r="B8" s="61" t="str">
        <f aca="false">INDEX(Tape_Property,3)</f>
        <v>Rise Creekside</v>
      </c>
      <c r="C8" s="138" t="n">
        <f aca="false">INDEX(Tape_AcqDate,MATCH($B8,Tape_Property,0))</f>
        <v>45139</v>
      </c>
      <c r="D8" s="28" t="n">
        <v>576720</v>
      </c>
      <c r="E8" s="28" t="n">
        <v>1025301</v>
      </c>
      <c r="F8" s="28" t="n">
        <v>516975</v>
      </c>
      <c r="G8" s="28" t="n">
        <v>160406</v>
      </c>
      <c r="H8" s="25" t="n">
        <f aca="false">SUM(D8:G8)</f>
        <v>2279402</v>
      </c>
      <c r="I8" s="25" t="n">
        <f aca="false">H8/K8</f>
        <v>9997.37719298246</v>
      </c>
      <c r="J8" s="26" t="n">
        <f aca="false">H8/$H$29</f>
        <v>0.0435297488829924</v>
      </c>
      <c r="K8" s="57" t="n">
        <f aca="false">INDEX(Tape_Units,MATCH($B8,Tape_Property,0))</f>
        <v>228</v>
      </c>
    </row>
    <row r="9" customFormat="false" ht="15" hidden="false" customHeight="false" outlineLevel="0" collapsed="false">
      <c r="B9" s="65" t="str">
        <f aca="false">INDEX(Tape_Property,4)</f>
        <v>Rise Bridgeview</v>
      </c>
      <c r="C9" s="139" t="n">
        <f aca="false">INDEX(Tape_AcqDate,MATCH($B9,Tape_Property,0))</f>
        <v>45627</v>
      </c>
      <c r="D9" s="37" t="n">
        <v>0</v>
      </c>
      <c r="E9" s="37" t="n">
        <v>0</v>
      </c>
      <c r="F9" s="37" t="n">
        <v>1246637</v>
      </c>
      <c r="G9" s="37" t="n">
        <v>260113</v>
      </c>
      <c r="H9" s="32" t="n">
        <f aca="false">SUM(D9:G9)</f>
        <v>1506750</v>
      </c>
      <c r="I9" s="32" t="n">
        <f aca="false">H9/K9</f>
        <v>6278.125</v>
      </c>
      <c r="J9" s="34" t="n">
        <f aca="false">H9/$H$29</f>
        <v>0.0287744106258785</v>
      </c>
      <c r="K9" s="66" t="n">
        <f aca="false">INDEX(Tape_Units,MATCH($B9,Tape_Property,0))</f>
        <v>240</v>
      </c>
    </row>
    <row r="10" customFormat="false" ht="15" hidden="false" customHeight="false" outlineLevel="0" collapsed="false">
      <c r="B10" s="61" t="str">
        <f aca="false">INDEX(Tape_Property,5)</f>
        <v>Rise Suncrest</v>
      </c>
      <c r="C10" s="138" t="n">
        <f aca="false">INDEX(Tape_AcqDate,MATCH($B10,Tape_Property,0))</f>
        <v>44866</v>
      </c>
      <c r="D10" s="28" t="n">
        <v>1374706</v>
      </c>
      <c r="E10" s="28" t="n">
        <v>326675</v>
      </c>
      <c r="F10" s="28" t="n">
        <v>767870</v>
      </c>
      <c r="G10" s="28" t="n">
        <v>82020</v>
      </c>
      <c r="H10" s="25" t="n">
        <f aca="false">SUM(D10:G10)</f>
        <v>2551271</v>
      </c>
      <c r="I10" s="25" t="n">
        <f aca="false">H10/K10</f>
        <v>15945.44375</v>
      </c>
      <c r="J10" s="26" t="n">
        <f aca="false">H10/$H$29</f>
        <v>0.0487216322362009</v>
      </c>
      <c r="K10" s="57" t="n">
        <f aca="false">INDEX(Tape_Units,MATCH($B10,Tape_Property,0))</f>
        <v>160</v>
      </c>
    </row>
    <row r="11" customFormat="false" ht="15" hidden="false" customHeight="false" outlineLevel="0" collapsed="false">
      <c r="B11" s="65" t="str">
        <f aca="false">INDEX(Tape_Property,6)</f>
        <v>Rise Desert Cove</v>
      </c>
      <c r="C11" s="139" t="n">
        <f aca="false">INDEX(Tape_AcqDate,MATCH($B11,Tape_Property,0))</f>
        <v>44986</v>
      </c>
      <c r="D11" s="37" t="n">
        <v>1384699</v>
      </c>
      <c r="E11" s="37" t="n">
        <v>429697</v>
      </c>
      <c r="F11" s="37" t="n">
        <v>613085</v>
      </c>
      <c r="G11" s="37" t="n">
        <v>115377</v>
      </c>
      <c r="H11" s="32" t="n">
        <f aca="false">SUM(D11:G11)</f>
        <v>2542858</v>
      </c>
      <c r="I11" s="32" t="n">
        <f aca="false">H11/K11</f>
        <v>13671.2795698925</v>
      </c>
      <c r="J11" s="34" t="n">
        <f aca="false">H11/$H$29</f>
        <v>0.0485609691423927</v>
      </c>
      <c r="K11" s="66" t="n">
        <f aca="false">INDEX(Tape_Units,MATCH($B11,Tape_Property,0))</f>
        <v>186</v>
      </c>
    </row>
    <row r="12" customFormat="false" ht="15" hidden="false" customHeight="false" outlineLevel="0" collapsed="false">
      <c r="B12" s="61" t="str">
        <f aca="false">INDEX(Tape_Property,7)</f>
        <v>Rise Fossil Creek</v>
      </c>
      <c r="C12" s="138" t="n">
        <f aca="false">INDEX(Tape_AcqDate,MATCH($B12,Tape_Property,0))</f>
        <v>45383</v>
      </c>
      <c r="D12" s="28" t="n">
        <v>0</v>
      </c>
      <c r="E12" s="28" t="n">
        <v>1316376</v>
      </c>
      <c r="F12" s="28" t="n">
        <v>584454</v>
      </c>
      <c r="G12" s="28" t="n">
        <v>171334</v>
      </c>
      <c r="H12" s="25" t="n">
        <f aca="false">SUM(D12:G12)</f>
        <v>2072164</v>
      </c>
      <c r="I12" s="25" t="n">
        <f aca="false">H12/K12</f>
        <v>7195.01388888889</v>
      </c>
      <c r="J12" s="26" t="n">
        <f aca="false">H12/$H$29</f>
        <v>0.0395721239888256</v>
      </c>
      <c r="K12" s="57" t="n">
        <f aca="false">INDEX(Tape_Units,MATCH($B12,Tape_Property,0))</f>
        <v>288</v>
      </c>
    </row>
    <row r="13" customFormat="false" ht="15" hidden="false" customHeight="false" outlineLevel="0" collapsed="false">
      <c r="B13" s="65" t="str">
        <f aca="false">INDEX(Tape_Property,8)</f>
        <v>Rise Desert West</v>
      </c>
      <c r="C13" s="139" t="n">
        <f aca="false">INDEX(Tape_AcqDate,MATCH($B13,Tape_Property,0))</f>
        <v>44378</v>
      </c>
      <c r="D13" s="37" t="n">
        <v>1241384</v>
      </c>
      <c r="E13" s="37" t="n">
        <v>193481</v>
      </c>
      <c r="F13" s="37" t="n">
        <v>291661</v>
      </c>
      <c r="G13" s="37" t="n">
        <v>199359</v>
      </c>
      <c r="H13" s="32" t="n">
        <f aca="false">SUM(D13:G13)</f>
        <v>1925885</v>
      </c>
      <c r="I13" s="32" t="n">
        <f aca="false">H13/K13</f>
        <v>9440.61274509804</v>
      </c>
      <c r="J13" s="34" t="n">
        <f aca="false">H13/$H$29</f>
        <v>0.0367786333553808</v>
      </c>
      <c r="K13" s="66" t="n">
        <f aca="false">INDEX(Tape_Units,MATCH($B13,Tape_Property,0))</f>
        <v>204</v>
      </c>
    </row>
    <row r="14" customFormat="false" ht="15" hidden="false" customHeight="false" outlineLevel="0" collapsed="false">
      <c r="B14" s="61" t="str">
        <f aca="false">INDEX(Tape_Property,9)</f>
        <v>Rise Lakeside</v>
      </c>
      <c r="C14" s="138" t="n">
        <f aca="false">INDEX(Tape_AcqDate,MATCH($B14,Tape_Property,0))</f>
        <v>44713</v>
      </c>
      <c r="D14" s="28" t="n">
        <v>4030992</v>
      </c>
      <c r="E14" s="28" t="n">
        <v>347327</v>
      </c>
      <c r="F14" s="28" t="n">
        <v>296299</v>
      </c>
      <c r="G14" s="28" t="n">
        <v>160921</v>
      </c>
      <c r="H14" s="25" t="n">
        <f aca="false">SUM(D14:G14)</f>
        <v>4835539</v>
      </c>
      <c r="I14" s="25" t="n">
        <f aca="false">H14/K14</f>
        <v>16790.0659722222</v>
      </c>
      <c r="J14" s="26" t="n">
        <f aca="false">H14/$H$29</f>
        <v>0.0923443071401692</v>
      </c>
      <c r="K14" s="57" t="n">
        <f aca="false">INDEX(Tape_Units,MATCH($B14,Tape_Property,0))</f>
        <v>288</v>
      </c>
    </row>
    <row r="15" customFormat="false" ht="15" hidden="false" customHeight="false" outlineLevel="0" collapsed="false">
      <c r="B15" s="65" t="str">
        <f aca="false">INDEX(Tape_Property,10)</f>
        <v>Rise Spring Pointe</v>
      </c>
      <c r="C15" s="139" t="n">
        <f aca="false">INDEX(Tape_AcqDate,MATCH($B15,Tape_Property,0))</f>
        <v>45352</v>
      </c>
      <c r="D15" s="37" t="n">
        <v>0</v>
      </c>
      <c r="E15" s="37" t="n">
        <v>2782705</v>
      </c>
      <c r="F15" s="37" t="n">
        <v>506863</v>
      </c>
      <c r="G15" s="37" t="n">
        <v>156972</v>
      </c>
      <c r="H15" s="32" t="n">
        <f aca="false">SUM(D15:G15)</f>
        <v>3446540</v>
      </c>
      <c r="I15" s="32" t="n">
        <f aca="false">H15/K15</f>
        <v>10670.4024767802</v>
      </c>
      <c r="J15" s="34" t="n">
        <f aca="false">H15/$H$29</f>
        <v>0.0658185878204847</v>
      </c>
      <c r="K15" s="66" t="n">
        <f aca="false">INDEX(Tape_Units,MATCH($B15,Tape_Property,0))</f>
        <v>323</v>
      </c>
    </row>
    <row r="16" customFormat="false" ht="15" hidden="false" customHeight="false" outlineLevel="0" collapsed="false">
      <c r="B16" s="61" t="str">
        <f aca="false">INDEX(Tape_Property,11)</f>
        <v>Rise Skyline</v>
      </c>
      <c r="C16" s="138" t="n">
        <f aca="false">INDEX(Tape_AcqDate,MATCH($B16,Tape_Property,0))</f>
        <v>45231</v>
      </c>
      <c r="D16" s="28" t="n">
        <v>131269</v>
      </c>
      <c r="E16" s="28" t="n">
        <v>1216048</v>
      </c>
      <c r="F16" s="28" t="n">
        <v>867949</v>
      </c>
      <c r="G16" s="28" t="n">
        <v>212632</v>
      </c>
      <c r="H16" s="25" t="n">
        <f aca="false">SUM(D16:G16)</f>
        <v>2427898</v>
      </c>
      <c r="I16" s="25" t="n">
        <f aca="false">H16/K16</f>
        <v>12139.49</v>
      </c>
      <c r="J16" s="26" t="n">
        <f aca="false">H16/$H$29</f>
        <v>0.0463655775740828</v>
      </c>
      <c r="K16" s="57" t="n">
        <f aca="false">INDEX(Tape_Units,MATCH($B16,Tape_Property,0))</f>
        <v>200</v>
      </c>
    </row>
    <row r="17" customFormat="false" ht="15" hidden="false" customHeight="false" outlineLevel="0" collapsed="false">
      <c r="B17" s="65" t="str">
        <f aca="false">INDEX(Tape_Property,12)</f>
        <v>Rise Hillcrest</v>
      </c>
      <c r="C17" s="139" t="n">
        <f aca="false">INDEX(Tape_AcqDate,MATCH($B17,Tape_Property,0))</f>
        <v>45566</v>
      </c>
      <c r="D17" s="37" t="n">
        <v>0</v>
      </c>
      <c r="E17" s="37" t="n">
        <v>186850</v>
      </c>
      <c r="F17" s="37" t="n">
        <v>729412</v>
      </c>
      <c r="G17" s="37" t="n">
        <v>159985</v>
      </c>
      <c r="H17" s="32" t="n">
        <f aca="false">SUM(D17:G17)</f>
        <v>1076247</v>
      </c>
      <c r="I17" s="32" t="n">
        <f aca="false">H17/K17</f>
        <v>4804.67410714286</v>
      </c>
      <c r="J17" s="34" t="n">
        <f aca="false">H17/$H$29</f>
        <v>0.0205530931560444</v>
      </c>
      <c r="K17" s="66" t="n">
        <f aca="false">INDEX(Tape_Units,MATCH($B17,Tape_Property,0))</f>
        <v>224</v>
      </c>
    </row>
    <row r="18" customFormat="false" ht="15" hidden="false" customHeight="false" outlineLevel="0" collapsed="false">
      <c r="B18" s="61" t="str">
        <f aca="false">INDEX(Tape_Property,13)</f>
        <v>Rise on Cave Creek</v>
      </c>
      <c r="C18" s="138" t="n">
        <f aca="false">INDEX(Tape_AcqDate,MATCH($B18,Tape_Property,0))</f>
        <v>44621</v>
      </c>
      <c r="D18" s="28" t="n">
        <v>1103574</v>
      </c>
      <c r="E18" s="28" t="n">
        <v>148019</v>
      </c>
      <c r="F18" s="28" t="n">
        <v>182770</v>
      </c>
      <c r="G18" s="28" t="n">
        <v>86897</v>
      </c>
      <c r="H18" s="25" t="n">
        <f aca="false">SUM(D18:G18)</f>
        <v>1521260</v>
      </c>
      <c r="I18" s="25" t="n">
        <f aca="false">H18/K18</f>
        <v>10789.0780141844</v>
      </c>
      <c r="J18" s="26" t="n">
        <f aca="false">H18/$H$29</f>
        <v>0.0290515081524632</v>
      </c>
      <c r="K18" s="57" t="n">
        <f aca="false">INDEX(Tape_Units,MATCH($B18,Tape_Property,0))</f>
        <v>141</v>
      </c>
    </row>
    <row r="19" customFormat="false" ht="15" hidden="false" customHeight="false" outlineLevel="0" collapsed="false">
      <c r="B19" s="65" t="str">
        <f aca="false">INDEX(Tape_Property,14)</f>
        <v>Rise West Arlington</v>
      </c>
      <c r="C19" s="139" t="n">
        <f aca="false">INDEX(Tape_AcqDate,MATCH($B19,Tape_Property,0))</f>
        <v>45383</v>
      </c>
      <c r="D19" s="37" t="n">
        <v>0</v>
      </c>
      <c r="E19" s="37" t="n">
        <v>1400856</v>
      </c>
      <c r="F19" s="37" t="n">
        <v>642445</v>
      </c>
      <c r="G19" s="37" t="n">
        <v>333820</v>
      </c>
      <c r="H19" s="32" t="n">
        <f aca="false">SUM(D19:G19)</f>
        <v>2377121</v>
      </c>
      <c r="I19" s="32" t="n">
        <f aca="false">H19/K19</f>
        <v>10805.0954545455</v>
      </c>
      <c r="J19" s="34" t="n">
        <f aca="false">H19/$H$29</f>
        <v>0.0453958890070675</v>
      </c>
      <c r="K19" s="66" t="n">
        <f aca="false">INDEX(Tape_Units,MATCH($B19,Tape_Property,0))</f>
        <v>220</v>
      </c>
    </row>
    <row r="20" customFormat="false" ht="15" hidden="false" customHeight="false" outlineLevel="0" collapsed="false">
      <c r="B20" s="61" t="str">
        <f aca="false">INDEX(Tape_Property,15)</f>
        <v>Rise Heather Ridge</v>
      </c>
      <c r="C20" s="138" t="n">
        <f aca="false">INDEX(Tape_AcqDate,MATCH($B20,Tape_Property,0))</f>
        <v>45200</v>
      </c>
      <c r="D20" s="28" t="n">
        <v>303485</v>
      </c>
      <c r="E20" s="28" t="n">
        <v>1532727</v>
      </c>
      <c r="F20" s="28" t="n">
        <v>358725</v>
      </c>
      <c r="G20" s="28" t="n">
        <v>95692</v>
      </c>
      <c r="H20" s="25" t="n">
        <f aca="false">SUM(D20:G20)</f>
        <v>2290629</v>
      </c>
      <c r="I20" s="25" t="n">
        <f aca="false">H20/K20</f>
        <v>9089.79761904762</v>
      </c>
      <c r="J20" s="26" t="n">
        <f aca="false">H20/$H$29</f>
        <v>0.0437441509457743</v>
      </c>
      <c r="K20" s="57" t="n">
        <f aca="false">INDEX(Tape_Units,MATCH($B20,Tape_Property,0))</f>
        <v>252</v>
      </c>
    </row>
    <row r="21" customFormat="false" ht="15" hidden="false" customHeight="false" outlineLevel="0" collapsed="false">
      <c r="B21" s="65" t="str">
        <f aca="false">INDEX(Tape_Property,16)</f>
        <v>Rise on Cactus</v>
      </c>
      <c r="C21" s="139" t="n">
        <f aca="false">INDEX(Tape_AcqDate,MATCH($B21,Tape_Property,0))</f>
        <v>44621</v>
      </c>
      <c r="D21" s="37" t="n">
        <v>1578544</v>
      </c>
      <c r="E21" s="37" t="n">
        <v>190106</v>
      </c>
      <c r="F21" s="37" t="n">
        <v>308594</v>
      </c>
      <c r="G21" s="37" t="n">
        <v>85192</v>
      </c>
      <c r="H21" s="32" t="n">
        <f aca="false">SUM(D21:G21)</f>
        <v>2162436</v>
      </c>
      <c r="I21" s="32" t="n">
        <f aca="false">H21/K21</f>
        <v>17439</v>
      </c>
      <c r="J21" s="34" t="n">
        <f aca="false">H21/$H$29</f>
        <v>0.0412960487248596</v>
      </c>
      <c r="K21" s="66" t="n">
        <f aca="false">INDEX(Tape_Units,MATCH($B21,Tape_Property,0))</f>
        <v>124</v>
      </c>
    </row>
    <row r="22" customFormat="false" ht="15" hidden="false" customHeight="false" outlineLevel="0" collapsed="false">
      <c r="B22" s="61" t="str">
        <f aca="false">INDEX(Tape_Property,17)</f>
        <v>Rise on McClintock</v>
      </c>
      <c r="C22" s="138" t="n">
        <f aca="false">INDEX(Tape_AcqDate,MATCH($B22,Tape_Property,0))</f>
        <v>44927</v>
      </c>
      <c r="D22" s="28" t="n">
        <v>1103692</v>
      </c>
      <c r="E22" s="28" t="n">
        <v>221778</v>
      </c>
      <c r="F22" s="28" t="n">
        <v>283321</v>
      </c>
      <c r="G22" s="28" t="n">
        <v>66451</v>
      </c>
      <c r="H22" s="25" t="n">
        <f aca="false">SUM(D22:G22)</f>
        <v>1675242</v>
      </c>
      <c r="I22" s="25" t="n">
        <f aca="false">H22/K22</f>
        <v>14957.5178571429</v>
      </c>
      <c r="J22" s="26" t="n">
        <f aca="false">H22/$H$29</f>
        <v>0.0319921030069474</v>
      </c>
      <c r="K22" s="57" t="n">
        <f aca="false">INDEX(Tape_Units,MATCH($B22,Tape_Property,0))</f>
        <v>112</v>
      </c>
    </row>
    <row r="23" customFormat="false" ht="15" hidden="false" customHeight="false" outlineLevel="0" collapsed="false">
      <c r="B23" s="65" t="str">
        <f aca="false">INDEX(Tape_Property,18)</f>
        <v>Rise at Town East</v>
      </c>
      <c r="C23" s="139" t="n">
        <f aca="false">INDEX(Tape_AcqDate,MATCH($B23,Tape_Property,0))</f>
        <v>45261</v>
      </c>
      <c r="D23" s="37" t="n">
        <v>0</v>
      </c>
      <c r="E23" s="37" t="n">
        <v>1233526</v>
      </c>
      <c r="F23" s="37" t="n">
        <v>1134876</v>
      </c>
      <c r="G23" s="37" t="n">
        <v>407360</v>
      </c>
      <c r="H23" s="32" t="n">
        <f aca="false">SUM(D23:G23)</f>
        <v>2775762</v>
      </c>
      <c r="I23" s="32" t="n">
        <f aca="false">H23/K23</f>
        <v>13217.9142857143</v>
      </c>
      <c r="J23" s="34" t="n">
        <f aca="false">H23/$H$29</f>
        <v>0.0530087377386493</v>
      </c>
      <c r="K23" s="66" t="n">
        <f aca="false">INDEX(Tape_Units,MATCH($B23,Tape_Property,0))</f>
        <v>210</v>
      </c>
    </row>
    <row r="24" customFormat="false" ht="15" hidden="false" customHeight="false" outlineLevel="0" collapsed="false">
      <c r="B24" s="61" t="str">
        <f aca="false">INDEX(Tape_Property,19)</f>
        <v>Rise at the Meadows</v>
      </c>
      <c r="C24" s="138" t="n">
        <f aca="false">INDEX(Tape_AcqDate,MATCH($B24,Tape_Property,0))</f>
        <v>44805</v>
      </c>
      <c r="D24" s="28" t="n">
        <v>954888</v>
      </c>
      <c r="E24" s="28" t="n">
        <v>137788</v>
      </c>
      <c r="F24" s="28" t="n">
        <v>242079</v>
      </c>
      <c r="G24" s="28" t="n">
        <v>143837</v>
      </c>
      <c r="H24" s="25" t="n">
        <f aca="false">SUM(D24:G24)</f>
        <v>1478592</v>
      </c>
      <c r="I24" s="25" t="n">
        <f aca="false">H24/K24</f>
        <v>12321.6</v>
      </c>
      <c r="J24" s="26" t="n">
        <f aca="false">H24/$H$29</f>
        <v>0.0282366771900707</v>
      </c>
      <c r="K24" s="57" t="n">
        <f aca="false">INDEX(Tape_Units,MATCH($B24,Tape_Property,0))</f>
        <v>120</v>
      </c>
    </row>
    <row r="25" customFormat="false" ht="15" hidden="false" customHeight="false" outlineLevel="0" collapsed="false">
      <c r="B25" s="65" t="str">
        <f aca="false">INDEX(Tape_Property,20)</f>
        <v>Rise Oak Creek</v>
      </c>
      <c r="C25" s="139" t="n">
        <f aca="false">INDEX(Tape_AcqDate,MATCH($B25,Tape_Property,0))</f>
        <v>45047</v>
      </c>
      <c r="D25" s="37" t="n">
        <v>1154762</v>
      </c>
      <c r="E25" s="37" t="n">
        <v>150275</v>
      </c>
      <c r="F25" s="37" t="n">
        <v>151563</v>
      </c>
      <c r="G25" s="37" t="n">
        <v>57803</v>
      </c>
      <c r="H25" s="32" t="n">
        <f aca="false">SUM(D25:G25)</f>
        <v>1514403</v>
      </c>
      <c r="I25" s="32" t="n">
        <f aca="false">H25/K25</f>
        <v>8604.5625</v>
      </c>
      <c r="J25" s="34" t="n">
        <f aca="false">H25/$H$29</f>
        <v>0.028920559996723</v>
      </c>
      <c r="K25" s="66" t="n">
        <f aca="false">INDEX(Tape_Units,MATCH($B25,Tape_Property,0))</f>
        <v>176</v>
      </c>
    </row>
    <row r="26" customFormat="false" ht="15" hidden="false" customHeight="false" outlineLevel="0" collapsed="false">
      <c r="B26" s="61" t="str">
        <f aca="false">INDEX(Tape_Property,21)</f>
        <v>Rise North Arlington</v>
      </c>
      <c r="C26" s="138" t="n">
        <f aca="false">INDEX(Tape_AcqDate,MATCH($B26,Tape_Property,0))</f>
        <v>45108</v>
      </c>
      <c r="D26" s="28" t="n">
        <v>1109757</v>
      </c>
      <c r="E26" s="28" t="n">
        <v>1986279</v>
      </c>
      <c r="F26" s="28" t="n">
        <v>803595</v>
      </c>
      <c r="G26" s="28" t="n">
        <v>165385</v>
      </c>
      <c r="H26" s="25" t="n">
        <f aca="false">SUM(D26:G26)</f>
        <v>4065016</v>
      </c>
      <c r="I26" s="25" t="n">
        <f aca="false">H26/K26</f>
        <v>15515.3282442748</v>
      </c>
      <c r="J26" s="26" t="n">
        <f aca="false">H26/$H$29</f>
        <v>0.0776296264043579</v>
      </c>
      <c r="K26" s="57" t="n">
        <f aca="false">INDEX(Tape_Units,MATCH($B26,Tape_Property,0))</f>
        <v>262</v>
      </c>
    </row>
    <row r="27" customFormat="false" ht="15" hidden="false" customHeight="false" outlineLevel="0" collapsed="false">
      <c r="B27" s="65" t="str">
        <f aca="false">INDEX(Tape_Property,22)</f>
        <v>Rise Gateway</v>
      </c>
      <c r="C27" s="139" t="n">
        <f aca="false">INDEX(Tape_AcqDate,MATCH($B27,Tape_Property,0))</f>
        <v>45597</v>
      </c>
      <c r="D27" s="37" t="n">
        <v>0</v>
      </c>
      <c r="E27" s="37" t="n">
        <v>95369</v>
      </c>
      <c r="F27" s="37" t="n">
        <v>408492</v>
      </c>
      <c r="G27" s="37" t="n">
        <v>127786</v>
      </c>
      <c r="H27" s="32" t="n">
        <f aca="false">SUM(D27:G27)</f>
        <v>631647</v>
      </c>
      <c r="I27" s="32" t="n">
        <f aca="false">H27/K27</f>
        <v>4448.21830985916</v>
      </c>
      <c r="J27" s="34" t="n">
        <f aca="false">H27/$H$29</f>
        <v>0.0120625652222361</v>
      </c>
      <c r="K27" s="66" t="n">
        <f aca="false">INDEX(Tape_Units,MATCH($B27,Tape_Property,0))</f>
        <v>142</v>
      </c>
    </row>
    <row r="28" customFormat="false" ht="15" hidden="false" customHeight="false" outlineLevel="0" collapsed="false">
      <c r="B28" s="61" t="str">
        <f aca="false">INDEX(Tape_Property,23)</f>
        <v>Rise Matthews Pointe</v>
      </c>
      <c r="C28" s="138" t="n">
        <f aca="false">INDEX(Tape_AcqDate,MATCH($B28,Tape_Property,0))</f>
        <v>45474</v>
      </c>
      <c r="D28" s="28" t="n">
        <v>0</v>
      </c>
      <c r="E28" s="28" t="n">
        <v>202168</v>
      </c>
      <c r="F28" s="28" t="n">
        <v>330325</v>
      </c>
      <c r="G28" s="28" t="n">
        <v>259963</v>
      </c>
      <c r="H28" s="25" t="n">
        <f aca="false">SUM(D28:G28)</f>
        <v>792456</v>
      </c>
      <c r="I28" s="25" t="n">
        <f aca="false">H28/K28</f>
        <v>7924.56</v>
      </c>
      <c r="J28" s="26" t="n">
        <f aca="false">H28/$H$29</f>
        <v>0.0151335353223436</v>
      </c>
      <c r="K28" s="57" t="n">
        <f aca="false">INDEX(Tape_Units,MATCH($B28,Tape_Property,0))</f>
        <v>100</v>
      </c>
    </row>
    <row r="29" customFormat="false" ht="15" hidden="false" customHeight="false" outlineLevel="0" collapsed="false">
      <c r="B29" s="41" t="s">
        <v>185</v>
      </c>
      <c r="C29" s="42"/>
      <c r="D29" s="43" t="n">
        <f aca="false">SUM(D6:D28)</f>
        <v>19379623</v>
      </c>
      <c r="E29" s="43" t="n">
        <f aca="false">SUM(E6:E28)</f>
        <v>16852602</v>
      </c>
      <c r="F29" s="43" t="n">
        <f aca="false">SUM(F6:F28)</f>
        <v>12284350</v>
      </c>
      <c r="G29" s="43" t="n">
        <f aca="false">SUM(G6:G28)</f>
        <v>3847660</v>
      </c>
      <c r="H29" s="43" t="n">
        <f aca="false">SUM(H6:H28)</f>
        <v>52364235</v>
      </c>
      <c r="I29" s="43" t="n">
        <f aca="false">H29/K29</f>
        <v>10801.2035891089</v>
      </c>
      <c r="J29" s="44" t="n">
        <f aca="false">H29/$H$29</f>
        <v>1</v>
      </c>
      <c r="K29" s="47" t="n">
        <f aca="false">SUM(K6:K28)</f>
        <v>4848</v>
      </c>
    </row>
    <row r="31" customFormat="false" ht="15" hidden="false" customHeight="false" outlineLevel="0" collapsed="false">
      <c r="B31" s="19" t="s">
        <v>600</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&amp;L&amp;7 &amp;K9aa0a8CONFIDENTIAL&amp;R&amp;7 &amp;K9aa0a8&amp;P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2026-10-26T22:18:52Z</dcterms:created>
  <dc:creator>openpyxl</dc:creator>
  <dc:description/>
  <dc:language>en-US</dc:language>
  <cp:lastModifiedBy/>
  <dcterms:modified xsi:type="dcterms:W3CDTF">2026-10-26T22:18:52Z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