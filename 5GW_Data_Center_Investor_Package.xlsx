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Exec Summary" sheetId="2" state="visible" r:id="rId2"/>
    <sheet name="TAM" sheetId="3" state="visible" r:id="rId3"/>
    <sheet name="Buildout Costs" sheetId="4" state="visible" r:id="rId4"/>
    <sheet name="Public Comps" sheetId="5" state="visible" r:id="rId5"/>
    <sheet name="Private Comps" sheetId="6" state="visible" r:id="rId6"/>
    <sheet name="Sources" sheetId="7" state="visible" r:id="rId7"/>
  </sheets>
  <definedNames>
    <definedName name="Program_Capacity_GW">'Buildout Costs'!$D$7</definedName>
    <definedName name="Contingency_Low">'Buildout Costs'!$D$8</definedName>
    <definedName name="Contingency_Base">'Buildout Costs'!$D$9</definedName>
    <definedName name="Contingency_High">'Buildout Costs'!$D$10</definedName>
    <definedName name="Lease_Rate_kW_Mo">'Buildout Costs'!$D$11</definedName>
    <definedName name="Opex_Leakage">'Buildout Costs'!$D$12</definedName>
    <definedName name="Exit_Cap_Rate">'Buildout Costs'!$D$13</definedName>
    <definedName name="IT_Capital_Per_MW">'Buildout Costs'!$D$14</definedName>
    <definedName name="Cost_Per_MW_Low">'Buildout Costs'!$D$32</definedName>
    <definedName name="Cost_Per_MW_Base">'Buildout Costs'!$E$32</definedName>
    <definedName name="Cost_Per_MW_High">'Buildout Costs'!$F$32</definedName>
    <definedName name="Total_Dev_Capital">'Buildout Costs'!$L$42</definedName>
    <definedName name="Total_Program_MW">'Buildout Costs'!$L$39</definedName>
    <definedName name="Yield_On_Cost_Base">'Buildout Costs'!$E$54</definedName>
    <definedName name="Value_Creation_Per_MW">'Buildout Costs'!$E$56</definedName>
    <definedName name="Dev_Spread_Base">'Buildout Costs'!$E$57</definedName>
    <definedName name="Stab_Value_Per_MW">'Buildout Costs'!$E$55</definedName>
    <definedName name="Program_Value_Creation">'Buildout Costs'!$E$58</definedName>
    <definedName name="Vacancy_H1_2026">'TAM'!$D$9</definedName>
    <definedName name="Prelease_H1_2026">'TAM'!$D$10</definedName>
    <definedName name="Cum_Shortfall_2030">'TAM'!$J$47</definedName>
    <definedName name="Installed_2030">'TAM'!$J$21</definedName>
    <definedName name="Additions_2026_2030">'TAM'!$J$21</definedName>
    <definedName name="Share_Of_2030_Base">'TAM'!$D$55</definedName>
    <definedName name="Share_Of_Shortfall">'TAM'!$D$59</definedName>
    <definedName name="Pub_Median_EV_Per_Secured_MW">'Public Comps'!$K$19</definedName>
    <definedName name="Pub_Median_EV_EBITDA">'Public Comps'!$M$19</definedName>
    <definedName name="Colo_Median_Rate_kW_Mo">'Public Comps'!$J$30</definedName>
    <definedName name="Rate_Premium_To_Colo">'Public Comps'!$J$32</definedName>
    <definedName name="Prv_Median_EV_Per_Operating_MW">'Private Comps'!$H$14</definedName>
    <definedName name="Prv_Median_EV_Per_Total_MW">'Private Comps'!$I$14</definedName>
    <definedName name="Frontier_Cost_Per_MW">'Private Comps'!$H$22</definedName>
  </definedNames>
  <calcPr calcId="124519" fullCalcOnLoad="1"/>
</workbook>
</file>

<file path=xl/styles.xml><?xml version="1.0" encoding="utf-8"?>
<styleSheet xmlns="http://schemas.openxmlformats.org/spreadsheetml/2006/main">
  <numFmts count="9">
    <numFmt numFmtId="164" formatCode="#,##0.0;(#,##0.0);&quot;-&quot;"/>
    <numFmt numFmtId="165" formatCode="0.0%;(0.0%);-"/>
    <numFmt numFmtId="166" formatCode="&quot;$&quot;#,##0.0;&quot;$&quot;(0.0);&quot;-&quot;"/>
    <numFmt numFmtId="167" formatCode="#,##0.00;(#,##0.00);&quot;-&quot;"/>
    <numFmt numFmtId="168" formatCode="#,##0;(#,##0);&quot;-&quot;"/>
    <numFmt numFmtId="169" formatCode="0%;(0%);&quot;-&quot;"/>
    <numFmt numFmtId="170" formatCode="$#,##0;($#,##0);-"/>
    <numFmt numFmtId="171" formatCode="#,##0&quot; bps&quot;;(#,##0)&quot; bps&quot;;&quot;-&quot;"/>
    <numFmt numFmtId="172" formatCode="0.0&quot;x&quot;"/>
  </numFmts>
  <fonts count="18">
    <font>
      <name val="Calibri"/>
      <family val="2"/>
      <color theme="1"/>
      <sz val="11"/>
      <scheme val="minor"/>
    </font>
    <font>
      <name val="Calibri"/>
      <b val="1"/>
      <color rgb="00FFFFFF"/>
      <sz val="10"/>
    </font>
    <font>
      <name val="Calibri"/>
      <b val="1"/>
      <color rgb="00000000"/>
      <sz val="10"/>
    </font>
    <font>
      <name val="Calibri"/>
      <color rgb="00000000"/>
      <sz val="10"/>
    </font>
    <font>
      <name val="Calibri"/>
      <i val="1"/>
      <color rgb="00808080"/>
      <sz val="7"/>
    </font>
    <font>
      <name val="Calibri"/>
      <color rgb="00008000"/>
      <sz val="10"/>
    </font>
    <font>
      <name val="Calibri"/>
      <color rgb="00808080"/>
      <sz val="7"/>
    </font>
    <font>
      <name val="Calibri"/>
      <color rgb="000000FF"/>
      <sz val="10"/>
    </font>
    <font>
      <name val="Calibri"/>
      <i val="1"/>
      <color rgb="00FFFFFF"/>
      <sz val="7"/>
    </font>
    <font>
      <name val="Calibri"/>
      <b val="1"/>
      <color rgb="000000FF"/>
      <sz val="10"/>
    </font>
    <font>
      <name val="Calibri"/>
      <b val="1"/>
      <color rgb="00008000"/>
      <sz val="10"/>
    </font>
    <font>
      <name val="Calibri"/>
      <i val="1"/>
      <color rgb="00000000"/>
      <sz val="10"/>
    </font>
    <font>
      <name val="Calibri"/>
      <b val="1"/>
      <color rgb="00FFFFFF"/>
      <sz val="20"/>
    </font>
    <font>
      <name val="Calibri"/>
      <color rgb="00FFFFFF"/>
      <sz val="14"/>
    </font>
    <font>
      <name val="Calibri"/>
      <color rgb="00FFFFFF"/>
      <sz val="12"/>
    </font>
    <font>
      <name val="Calibri"/>
      <color rgb="00D9E1F2"/>
      <sz val="10"/>
    </font>
    <font>
      <name val="Calibri"/>
      <color rgb="009AA0A8"/>
      <sz val="7"/>
    </font>
    <font>
      <name val="Calibri"/>
      <i val="1"/>
      <color rgb="009AA0A8"/>
      <sz val="7"/>
    </font>
  </fonts>
  <fills count="7">
    <fill>
      <patternFill/>
    </fill>
    <fill>
      <patternFill patternType="gray125"/>
    </fill>
    <fill>
      <patternFill patternType="solid">
        <fgColor rgb="000F2F51"/>
      </patternFill>
    </fill>
    <fill>
      <patternFill patternType="solid">
        <fgColor rgb="00D9E1F2"/>
      </patternFill>
    </fill>
    <fill>
      <patternFill patternType="solid">
        <fgColor rgb="00F2F2F2"/>
      </patternFill>
    </fill>
    <fill>
      <patternFill patternType="solid">
        <fgColor rgb="00E2EFDA"/>
      </patternFill>
    </fill>
    <fill>
      <patternFill patternType="solid">
        <fgColor rgb="00F2DCDB"/>
      </patternFill>
    </fill>
  </fills>
  <borders count="5">
    <border>
      <left/>
      <right/>
      <top/>
      <bottom/>
      <diagonal/>
    </border>
    <border>
      <bottom style="thin">
        <color rgb="00000000"/>
      </bottom>
    </border>
    <border>
      <left style="dotted">
        <color rgb="00808080"/>
      </left>
      <right style="dotted">
        <color rgb="00808080"/>
      </right>
      <top style="dotted">
        <color rgb="00808080"/>
      </top>
      <bottom style="dotted">
        <color rgb="00808080"/>
      </bottom>
    </border>
    <border>
      <top style="thin">
        <color rgb="00000000"/>
      </top>
    </border>
    <border>
      <left style="dashed">
        <color rgb="00000000"/>
      </left>
      <right style="dashed">
        <color rgb="00000000"/>
      </right>
      <top style="dashed">
        <color rgb="00000000"/>
      </top>
      <bottom style="dashed">
        <color rgb="00000000"/>
      </bottom>
    </border>
  </borders>
  <cellStyleXfs count="1">
    <xf numFmtId="0" fontId="0" fillId="0" borderId="0"/>
  </cellStyleXfs>
  <cellXfs count="135">
    <xf numFmtId="0" fontId="0" fillId="0" borderId="0" pivotButton="0" quotePrefix="0" xfId="0"/>
    <xf numFmtId="0" fontId="0" fillId="2" borderId="0" pivotButton="0" quotePrefix="0" xfId="0"/>
    <xf numFmtId="0" fontId="12" fillId="2" borderId="0" applyAlignment="1" pivotButton="0" quotePrefix="0" xfId="0">
      <alignment horizontal="right" vertical="center"/>
    </xf>
    <xf numFmtId="0" fontId="0" fillId="3" borderId="0" pivotButton="0" quotePrefix="0" xfId="0"/>
    <xf numFmtId="0" fontId="13" fillId="2" borderId="0" applyAlignment="1" pivotButton="0" quotePrefix="0" xfId="0">
      <alignment horizontal="right" vertical="center"/>
    </xf>
    <xf numFmtId="0" fontId="14" fillId="2" borderId="0" applyAlignment="1" pivotButton="0" quotePrefix="0" xfId="0">
      <alignment horizontal="right" vertical="center"/>
    </xf>
    <xf numFmtId="0" fontId="15" fillId="2" borderId="0" applyAlignment="1" pivotButton="0" quotePrefix="0" xfId="0">
      <alignment horizontal="right" vertical="center"/>
    </xf>
    <xf numFmtId="0" fontId="16" fillId="2" borderId="0" applyAlignment="1" pivotButton="0" quotePrefix="0" xfId="0">
      <alignment horizontal="right" vertical="center"/>
    </xf>
    <xf numFmtId="0" fontId="17" fillId="2" borderId="0" applyAlignment="1" pivotButton="0" quotePrefix="0" xfId="0">
      <alignment horizontal="right" vertical="center"/>
    </xf>
    <xf numFmtId="0" fontId="1" fillId="2" borderId="0" applyAlignment="1" pivotButton="0" quotePrefix="0" xfId="0">
      <alignment horizontal="centerContinuous" vertical="center"/>
    </xf>
    <xf numFmtId="0" fontId="1" fillId="2" borderId="0" applyAlignment="1" pivotButton="0" quotePrefix="0" xfId="0">
      <alignment horizontal="left" vertical="center"/>
    </xf>
    <xf numFmtId="0" fontId="2" fillId="3" borderId="1" applyAlignment="1" pivotButton="0" quotePrefix="0" xfId="0">
      <alignment horizontal="center" vertical="bottom" wrapText="1"/>
    </xf>
    <xf numFmtId="0" fontId="3" fillId="4" borderId="0" applyAlignment="1" pivotButton="0" quotePrefix="0" xfId="0">
      <alignment horizontal="left" vertical="center" indent="1"/>
    </xf>
    <xf numFmtId="165" fontId="9" fillId="4" borderId="0" applyAlignment="1" pivotButton="0" quotePrefix="0" xfId="0">
      <alignment horizontal="center" vertical="center"/>
    </xf>
    <xf numFmtId="0" fontId="6" fillId="4" borderId="0" applyAlignment="1" pivotButton="0" quotePrefix="0" xfId="0">
      <alignment horizontal="center" vertical="center"/>
    </xf>
    <xf numFmtId="0" fontId="0" fillId="4" borderId="0" pivotButton="0" quotePrefix="0" xfId="0"/>
    <xf numFmtId="0" fontId="3" fillId="4" borderId="0" applyAlignment="1" pivotButton="0" quotePrefix="0" xfId="0">
      <alignment horizontal="left" vertical="center" wrapText="1"/>
    </xf>
    <xf numFmtId="0" fontId="3" fillId="0" borderId="0" applyAlignment="1" pivotButton="0" quotePrefix="0" xfId="0">
      <alignment horizontal="left" vertical="center" indent="1"/>
    </xf>
    <xf numFmtId="165" fontId="9" fillId="0" borderId="0" applyAlignment="1" pivotButton="0" quotePrefix="0" xfId="0">
      <alignment horizontal="center" vertical="center"/>
    </xf>
    <xf numFmtId="0" fontId="6" fillId="0" borderId="0" applyAlignment="1" pivotButton="0" quotePrefix="0" xfId="0">
      <alignment horizontal="center" vertical="center"/>
    </xf>
    <xf numFmtId="0" fontId="3" fillId="0" borderId="0" applyAlignment="1" pivotButton="0" quotePrefix="0" xfId="0">
      <alignment horizontal="left" vertical="center" wrapText="1"/>
    </xf>
    <xf numFmtId="164" fontId="9" fillId="4" borderId="0" applyAlignment="1" pivotButton="0" quotePrefix="0" xfId="0">
      <alignment horizontal="center" vertical="center"/>
    </xf>
    <xf numFmtId="164" fontId="9" fillId="0" borderId="0" applyAlignment="1" pivotButton="0" quotePrefix="0" xfId="0">
      <alignment horizontal="center" vertical="center"/>
    </xf>
    <xf numFmtId="0" fontId="4" fillId="0" borderId="0" applyAlignment="1" pivotButton="0" quotePrefix="0" xfId="0">
      <alignment horizontal="left" vertical="top"/>
    </xf>
    <xf numFmtId="167" fontId="9" fillId="0" borderId="0" applyAlignment="1" pivotButton="0" quotePrefix="0" xfId="0">
      <alignment horizontal="center" vertical="center"/>
    </xf>
    <xf numFmtId="170" fontId="9" fillId="4" borderId="0" applyAlignment="1" pivotButton="0" quotePrefix="0" xfId="0">
      <alignment horizontal="center" vertical="center"/>
    </xf>
    <xf numFmtId="171" fontId="9" fillId="4" borderId="0" applyAlignment="1" pivotButton="0" quotePrefix="0" xfId="0">
      <alignment horizontal="center" vertical="center"/>
    </xf>
    <xf numFmtId="172" fontId="9" fillId="0" borderId="0" applyAlignment="1" pivotButton="0" quotePrefix="0" xfId="0">
      <alignment horizontal="center" vertical="center"/>
    </xf>
    <xf numFmtId="170" fontId="9" fillId="0" borderId="0" applyAlignment="1" pivotButton="0" quotePrefix="0" xfId="0">
      <alignment horizontal="center" vertical="center"/>
    </xf>
    <xf numFmtId="0" fontId="2" fillId="4" borderId="0" applyAlignment="1" pivotButton="0" quotePrefix="0" xfId="0">
      <alignment horizontal="left" vertical="center" indent="1"/>
    </xf>
    <xf numFmtId="0" fontId="3" fillId="4" borderId="0" applyAlignment="1" pivotButton="0" quotePrefix="0" xfId="0">
      <alignment horizontal="left" vertical="top" wrapText="1"/>
    </xf>
    <xf numFmtId="0" fontId="3" fillId="5" borderId="0" applyAlignment="1" pivotButton="0" quotePrefix="0" xfId="0">
      <alignment vertical="center"/>
    </xf>
    <xf numFmtId="0" fontId="0" fillId="5" borderId="0" pivotButton="0" quotePrefix="0" xfId="0"/>
    <xf numFmtId="0" fontId="11" fillId="5" borderId="0" applyAlignment="1" pivotButton="0" quotePrefix="0" xfId="0">
      <alignment horizontal="left" vertical="top" wrapText="1"/>
    </xf>
    <xf numFmtId="168" fontId="5" fillId="4" borderId="2" applyAlignment="1" pivotButton="0" quotePrefix="0" xfId="0">
      <alignment horizontal="center" vertical="center"/>
    </xf>
    <xf numFmtId="165" fontId="3" fillId="4" borderId="0" applyAlignment="1" pivotButton="0" quotePrefix="0" xfId="0">
      <alignment horizontal="center" vertical="center"/>
    </xf>
    <xf numFmtId="0" fontId="3" fillId="4" borderId="0" applyAlignment="1" pivotButton="0" quotePrefix="0" xfId="0">
      <alignment horizontal="left" vertical="center"/>
    </xf>
    <xf numFmtId="168" fontId="5" fillId="0" borderId="2" applyAlignment="1" pivotButton="0" quotePrefix="0" xfId="0">
      <alignment horizontal="center" vertical="center"/>
    </xf>
    <xf numFmtId="165" fontId="3" fillId="0" borderId="0" applyAlignment="1" pivotButton="0" quotePrefix="0" xfId="0">
      <alignment horizontal="center" vertical="center"/>
    </xf>
    <xf numFmtId="0" fontId="3" fillId="0" borderId="0" applyAlignment="1" pivotButton="0" quotePrefix="0" xfId="0">
      <alignment horizontal="left" vertical="center"/>
    </xf>
    <xf numFmtId="165" fontId="5" fillId="4" borderId="2" applyAlignment="1" pivotButton="0" quotePrefix="0" xfId="0">
      <alignment horizontal="center" vertical="center"/>
    </xf>
    <xf numFmtId="171" fontId="3" fillId="4" borderId="0" applyAlignment="1" pivotButton="0" quotePrefix="0" xfId="0">
      <alignment horizontal="center" vertical="center"/>
    </xf>
    <xf numFmtId="165" fontId="5" fillId="0" borderId="2" applyAlignment="1" pivotButton="0" quotePrefix="0" xfId="0">
      <alignment horizontal="center" vertical="center"/>
    </xf>
    <xf numFmtId="171" fontId="3" fillId="0" borderId="0" applyAlignment="1" pivotButton="0" quotePrefix="0" xfId="0">
      <alignment horizontal="center" vertical="center"/>
    </xf>
    <xf numFmtId="164" fontId="5" fillId="4" borderId="2" applyAlignment="1" pivotButton="0" quotePrefix="0" xfId="0">
      <alignment horizontal="center" vertical="center"/>
    </xf>
    <xf numFmtId="164" fontId="3" fillId="4" borderId="0" applyAlignment="1" pivotButton="0" quotePrefix="0" xfId="0">
      <alignment horizontal="center" vertical="center"/>
    </xf>
    <xf numFmtId="0" fontId="4" fillId="0" borderId="0" applyAlignment="1" pivotButton="0" quotePrefix="0" xfId="0">
      <alignment horizontal="left" vertical="center" indent="1"/>
    </xf>
    <xf numFmtId="164" fontId="5" fillId="0" borderId="2" applyAlignment="1" pivotButton="0" quotePrefix="0" xfId="0">
      <alignment horizontal="center" vertical="center"/>
    </xf>
    <xf numFmtId="170" fontId="5" fillId="0" borderId="2" applyAlignment="1" pivotButton="0" quotePrefix="0" xfId="0">
      <alignment horizontal="center" vertical="center"/>
    </xf>
    <xf numFmtId="170" fontId="3" fillId="0" borderId="0" applyAlignment="1" pivotButton="0" quotePrefix="0" xfId="0">
      <alignment horizontal="center" vertical="center"/>
    </xf>
    <xf numFmtId="170" fontId="3" fillId="4" borderId="0" applyAlignment="1" pivotButton="0" quotePrefix="0" xfId="0">
      <alignment horizontal="center" vertical="center"/>
    </xf>
    <xf numFmtId="164" fontId="7" fillId="0" borderId="0" applyAlignment="1" pivotButton="0" quotePrefix="0" xfId="0">
      <alignment horizontal="center" vertical="center"/>
    </xf>
    <xf numFmtId="164" fontId="3" fillId="0" borderId="0" applyAlignment="1" pivotButton="0" quotePrefix="0" xfId="0">
      <alignment horizontal="center" vertical="center"/>
    </xf>
    <xf numFmtId="0" fontId="2" fillId="0" borderId="3" applyAlignment="1" pivotButton="0" quotePrefix="0" xfId="0">
      <alignment horizontal="left" vertical="center" indent="1"/>
    </xf>
    <xf numFmtId="0" fontId="6" fillId="0" borderId="3" applyAlignment="1" pivotButton="0" quotePrefix="0" xfId="0">
      <alignment horizontal="center" vertical="center"/>
    </xf>
    <xf numFmtId="164" fontId="2" fillId="0" borderId="3" applyAlignment="1" pivotButton="0" quotePrefix="0" xfId="0">
      <alignment horizontal="center" vertical="center"/>
    </xf>
    <xf numFmtId="165" fontId="2" fillId="5" borderId="0" applyAlignment="1" pivotButton="0" quotePrefix="0" xfId="0">
      <alignment horizontal="center" vertical="center"/>
    </xf>
    <xf numFmtId="0" fontId="2" fillId="3" borderId="1" applyAlignment="1" pivotButton="0" quotePrefix="0" xfId="0">
      <alignment horizontal="left" vertical="bottom" wrapText="1"/>
    </xf>
    <xf numFmtId="0" fontId="4" fillId="4" borderId="0" applyAlignment="1" pivotButton="0" quotePrefix="0" xfId="0">
      <alignment horizontal="left" vertical="center"/>
    </xf>
    <xf numFmtId="0" fontId="4" fillId="0" borderId="0" applyAlignment="1" pivotButton="0" quotePrefix="0" xfId="0">
      <alignment horizontal="left" vertical="center"/>
    </xf>
    <xf numFmtId="166" fontId="5" fillId="4" borderId="2" applyAlignment="1" pivotButton="0" quotePrefix="0" xfId="0">
      <alignment horizontal="center" vertical="center"/>
    </xf>
    <xf numFmtId="166" fontId="5" fillId="0" borderId="2" applyAlignment="1" pivotButton="0" quotePrefix="0" xfId="0">
      <alignment horizontal="center" vertical="center"/>
    </xf>
    <xf numFmtId="167" fontId="5" fillId="4" borderId="2" applyAlignment="1" pivotButton="0" quotePrefix="0" xfId="0">
      <alignment horizontal="center" vertical="center"/>
    </xf>
    <xf numFmtId="167" fontId="5" fillId="0" borderId="2" applyAlignment="1" pivotButton="0" quotePrefix="0" xfId="0">
      <alignment horizontal="center" vertical="center"/>
    </xf>
    <xf numFmtId="0" fontId="2" fillId="0" borderId="3" applyAlignment="1" pivotButton="0" quotePrefix="0" xfId="0">
      <alignment horizontal="left" vertical="center"/>
    </xf>
    <xf numFmtId="0" fontId="3" fillId="0" borderId="3" applyAlignment="1" pivotButton="0" quotePrefix="0" xfId="0">
      <alignment vertical="center"/>
    </xf>
    <xf numFmtId="167" fontId="2" fillId="0" borderId="3" applyAlignment="1" pivotButton="0" quotePrefix="0" xfId="0">
      <alignment horizontal="center" vertical="center"/>
    </xf>
    <xf numFmtId="165" fontId="2" fillId="0" borderId="3" applyAlignment="1" pivotButton="0" quotePrefix="0" xfId="0">
      <alignment horizontal="center" vertical="center"/>
    </xf>
    <xf numFmtId="0" fontId="0" fillId="0" borderId="3" pivotButton="0" quotePrefix="0" xfId="0"/>
    <xf numFmtId="167" fontId="3" fillId="0" borderId="0" applyAlignment="1" pivotButton="0" quotePrefix="0" xfId="0">
      <alignment horizontal="center" vertical="center"/>
    </xf>
    <xf numFmtId="0" fontId="1" fillId="2" borderId="0" applyAlignment="1" pivotButton="0" quotePrefix="0" xfId="0">
      <alignment horizontal="left" vertical="center"/>
    </xf>
    <xf numFmtId="167" fontId="1" fillId="2" borderId="0" applyAlignment="1" pivotButton="0" quotePrefix="0" xfId="0">
      <alignment horizontal="center" vertical="center"/>
    </xf>
    <xf numFmtId="165" fontId="1" fillId="2" borderId="0" applyAlignment="1" pivotButton="0" quotePrefix="0" xfId="0">
      <alignment horizontal="center" vertical="center"/>
    </xf>
    <xf numFmtId="168" fontId="2" fillId="4" borderId="0" applyAlignment="1" pivotButton="0" quotePrefix="0" xfId="0">
      <alignment horizontal="center" vertical="center"/>
    </xf>
    <xf numFmtId="168" fontId="3" fillId="0" borderId="0" applyAlignment="1" pivotButton="0" quotePrefix="0" xfId="0">
      <alignment horizontal="center" vertical="center"/>
    </xf>
    <xf numFmtId="168" fontId="2" fillId="0" borderId="0" applyAlignment="1" pivotButton="0" quotePrefix="0" xfId="0">
      <alignment horizontal="center" vertical="center"/>
    </xf>
    <xf numFmtId="169" fontId="3" fillId="4" borderId="0" applyAlignment="1" pivotButton="0" quotePrefix="0" xfId="0">
      <alignment horizontal="center" vertical="center"/>
    </xf>
    <xf numFmtId="169" fontId="2" fillId="4" borderId="0" applyAlignment="1" pivotButton="0" quotePrefix="0" xfId="0">
      <alignment horizontal="center" vertical="center"/>
    </xf>
    <xf numFmtId="170" fontId="2" fillId="0" borderId="0" applyAlignment="1" pivotButton="0" quotePrefix="0" xfId="0">
      <alignment horizontal="center" vertical="center"/>
    </xf>
    <xf numFmtId="170" fontId="2" fillId="4" borderId="0" applyAlignment="1" pivotButton="0" quotePrefix="0" xfId="0">
      <alignment horizontal="center" vertical="center"/>
    </xf>
    <xf numFmtId="0" fontId="3" fillId="2" borderId="0" applyAlignment="1" pivotButton="0" quotePrefix="0" xfId="0">
      <alignment vertical="center"/>
    </xf>
    <xf numFmtId="170" fontId="1" fillId="2" borderId="0" applyAlignment="1" pivotButton="0" quotePrefix="0" xfId="0">
      <alignment horizontal="center" vertical="center"/>
    </xf>
    <xf numFmtId="167" fontId="7" fillId="4" borderId="0" applyAlignment="1" pivotButton="0" quotePrefix="0" xfId="0">
      <alignment horizontal="center" vertical="center"/>
    </xf>
    <xf numFmtId="167" fontId="3" fillId="4" borderId="0" applyAlignment="1" pivotButton="0" quotePrefix="0" xfId="0">
      <alignment horizontal="center" vertical="center"/>
    </xf>
    <xf numFmtId="167" fontId="2" fillId="0" borderId="0" applyAlignment="1" pivotButton="0" quotePrefix="0" xfId="0">
      <alignment horizontal="center" vertical="center"/>
    </xf>
    <xf numFmtId="165" fontId="2" fillId="4" borderId="0" applyAlignment="1" pivotButton="0" quotePrefix="0" xfId="0">
      <alignment horizontal="center" vertical="center"/>
    </xf>
    <xf numFmtId="171" fontId="2" fillId="0" borderId="0" applyAlignment="1" pivotButton="0" quotePrefix="0" xfId="0">
      <alignment horizontal="center" vertical="center"/>
    </xf>
    <xf numFmtId="0" fontId="8" fillId="2" borderId="0" applyAlignment="1" pivotButton="0" quotePrefix="0" xfId="0">
      <alignment horizontal="left" vertical="center"/>
    </xf>
    <xf numFmtId="0" fontId="2" fillId="3" borderId="1" applyAlignment="1" pivotButton="0" quotePrefix="0" xfId="0">
      <alignment horizontal="left" vertical="center"/>
    </xf>
    <xf numFmtId="0" fontId="2" fillId="3" borderId="1" applyAlignment="1" pivotButton="0" quotePrefix="0" xfId="0">
      <alignment horizontal="center" vertical="center"/>
    </xf>
    <xf numFmtId="170" fontId="2" fillId="3" borderId="1" applyAlignment="1" pivotButton="0" quotePrefix="0" xfId="0">
      <alignment horizontal="center" vertical="center"/>
    </xf>
    <xf numFmtId="0" fontId="0" fillId="3" borderId="1" pivotButton="0" quotePrefix="0" xfId="0"/>
    <xf numFmtId="0" fontId="4" fillId="4" borderId="0" applyAlignment="1" pivotButton="0" quotePrefix="0" xfId="0">
      <alignment horizontal="center" vertical="center"/>
    </xf>
    <xf numFmtId="165" fontId="3" fillId="5" borderId="0" applyAlignment="1" pivotButton="0" quotePrefix="0" xfId="0">
      <alignment horizontal="center" vertical="center"/>
    </xf>
    <xf numFmtId="167" fontId="9" fillId="3" borderId="0" applyAlignment="1" pivotButton="0" quotePrefix="0" xfId="0">
      <alignment horizontal="center" vertical="center"/>
    </xf>
    <xf numFmtId="0" fontId="4" fillId="3" borderId="0" applyAlignment="1" pivotButton="0" quotePrefix="0" xfId="0">
      <alignment horizontal="center" vertical="center"/>
    </xf>
    <xf numFmtId="165" fontId="3" fillId="6" borderId="0" applyAlignment="1" pivotButton="0" quotePrefix="0" xfId="0">
      <alignment horizontal="center" vertical="center"/>
    </xf>
    <xf numFmtId="165" fontId="2" fillId="0" borderId="4" applyAlignment="1" pivotButton="0" quotePrefix="0" xfId="0">
      <alignment horizontal="center" vertical="center"/>
    </xf>
    <xf numFmtId="0" fontId="2" fillId="6" borderId="0" applyAlignment="1" pivotButton="0" quotePrefix="0" xfId="0">
      <alignment horizontal="left" vertical="center"/>
    </xf>
    <xf numFmtId="0" fontId="0" fillId="6" borderId="0" pivotButton="0" quotePrefix="0" xfId="0"/>
    <xf numFmtId="0" fontId="2" fillId="3" borderId="0" applyAlignment="1" pivotButton="0" quotePrefix="0" xfId="0">
      <alignment horizontal="left" vertical="center"/>
    </xf>
    <xf numFmtId="0" fontId="3" fillId="4" borderId="0" applyAlignment="1" pivotButton="0" quotePrefix="0" xfId="0">
      <alignment horizontal="center" vertical="center"/>
    </xf>
    <xf numFmtId="166" fontId="2" fillId="4" borderId="0" applyAlignment="1" pivotButton="0" quotePrefix="0" xfId="0">
      <alignment horizontal="center" vertical="center"/>
    </xf>
    <xf numFmtId="172" fontId="3" fillId="4" borderId="0" applyAlignment="1" pivotButton="0" quotePrefix="0" xfId="0">
      <alignment horizontal="center" vertical="center"/>
    </xf>
    <xf numFmtId="0" fontId="4" fillId="4" borderId="0" applyAlignment="1" pivotButton="0" quotePrefix="0" xfId="0">
      <alignment horizontal="left" vertical="center" wrapText="1"/>
    </xf>
    <xf numFmtId="0" fontId="3" fillId="0" borderId="0" applyAlignment="1" pivotButton="0" quotePrefix="0" xfId="0">
      <alignment horizontal="center" vertical="center"/>
    </xf>
    <xf numFmtId="166" fontId="2" fillId="0" borderId="0" applyAlignment="1" pivotButton="0" quotePrefix="0" xfId="0">
      <alignment horizontal="center" vertical="center"/>
    </xf>
    <xf numFmtId="172" fontId="3" fillId="0" borderId="0" applyAlignment="1" pivotButton="0" quotePrefix="0" xfId="0">
      <alignment horizontal="center" vertical="center"/>
    </xf>
    <xf numFmtId="0" fontId="4" fillId="0" borderId="0" applyAlignment="1" pivotButton="0" quotePrefix="0" xfId="0">
      <alignment horizontal="left" vertical="center" wrapText="1"/>
    </xf>
    <xf numFmtId="166" fontId="1" fillId="2" borderId="0" applyAlignment="1" pivotButton="0" quotePrefix="0" xfId="0">
      <alignment horizontal="center" vertical="center"/>
    </xf>
    <xf numFmtId="164" fontId="1" fillId="2" borderId="0" applyAlignment="1" pivotButton="0" quotePrefix="0" xfId="0">
      <alignment horizontal="center" vertical="center"/>
    </xf>
    <xf numFmtId="172" fontId="1" fillId="2"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164" fontId="2" fillId="0" borderId="0" applyAlignment="1" pivotButton="0" quotePrefix="0" xfId="0">
      <alignment horizontal="center" vertical="center"/>
    </xf>
    <xf numFmtId="172" fontId="2" fillId="0" borderId="0" applyAlignment="1" pivotButton="0" quotePrefix="0" xfId="0">
      <alignment horizontal="center" vertical="center"/>
    </xf>
    <xf numFmtId="167" fontId="2" fillId="4" borderId="0" applyAlignment="1" pivotButton="0" quotePrefix="0" xfId="0">
      <alignment horizontal="center" vertical="center"/>
    </xf>
    <xf numFmtId="0" fontId="2" fillId="5" borderId="0" applyAlignment="1" pivotButton="0" quotePrefix="0" xfId="0">
      <alignment horizontal="left" vertical="center" indent="1"/>
    </xf>
    <xf numFmtId="0" fontId="4" fillId="5" borderId="0" applyAlignment="1" pivotButton="0" quotePrefix="0" xfId="0">
      <alignment horizontal="left" vertical="center"/>
    </xf>
    <xf numFmtId="167" fontId="9" fillId="5" borderId="0" applyAlignment="1" pivotButton="0" quotePrefix="0" xfId="0">
      <alignment horizontal="center" vertical="center"/>
    </xf>
    <xf numFmtId="170" fontId="9" fillId="5" borderId="0" applyAlignment="1" pivotButton="0" quotePrefix="0" xfId="0">
      <alignment horizontal="center" vertical="center"/>
    </xf>
    <xf numFmtId="165" fontId="2" fillId="0" borderId="0" applyAlignment="1" pivotButton="0" quotePrefix="0" xfId="0">
      <alignment horizontal="center" vertical="center"/>
    </xf>
    <xf numFmtId="172" fontId="5" fillId="0" borderId="2" applyAlignment="1" pivotButton="0" quotePrefix="0" xfId="0">
      <alignment horizontal="center" vertical="center"/>
    </xf>
    <xf numFmtId="172" fontId="5" fillId="4" borderId="2" applyAlignment="1" pivotButton="0" quotePrefix="0" xfId="0">
      <alignment horizontal="center" vertical="center"/>
    </xf>
    <xf numFmtId="164" fontId="2" fillId="4" borderId="0" applyAlignment="1" pivotButton="0" quotePrefix="0" xfId="0">
      <alignment horizontal="center" vertical="center"/>
    </xf>
    <xf numFmtId="0" fontId="10" fillId="4" borderId="2" applyAlignment="1" pivotButton="0" quotePrefix="0" xfId="0">
      <alignment horizontal="center" vertical="center"/>
    </xf>
    <xf numFmtId="0" fontId="10" fillId="0" borderId="2" applyAlignment="1" pivotButton="0" quotePrefix="0" xfId="0">
      <alignment horizontal="center" vertical="center"/>
    </xf>
    <xf numFmtId="0" fontId="3" fillId="4" borderId="0" applyAlignment="1" pivotButton="0" quotePrefix="0" xfId="0">
      <alignment horizontal="left" vertical="top" wrapText="1" indent="1"/>
    </xf>
    <xf numFmtId="0" fontId="4" fillId="4" borderId="0" applyAlignment="1" pivotButton="0" quotePrefix="0" xfId="0">
      <alignment horizontal="left" vertical="top" wrapText="1"/>
    </xf>
    <xf numFmtId="0" fontId="3" fillId="0" borderId="0" applyAlignment="1" pivotButton="0" quotePrefix="0" xfId="0">
      <alignment horizontal="left" vertical="top" wrapText="1" inden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2" fillId="4" borderId="0" applyAlignment="1" pivotButton="0" quotePrefix="0" xfId="0">
      <alignment horizontal="left" vertical="top" wrapText="1" indent="1"/>
    </xf>
    <xf numFmtId="0" fontId="3" fillId="4" borderId="0" applyAlignment="1" pivotButton="0" quotePrefix="0" xfId="0">
      <alignment vertical="center"/>
    </xf>
    <xf numFmtId="0" fontId="2" fillId="0" borderId="0"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2F51"/>
    <outlinePr summaryBelow="1" summaryRight="1"/>
    <pageSetUpPr fitToPage="1"/>
  </sheetPr>
  <dimension ref="A1:M33"/>
  <sheetViews>
    <sheetView showGridLines="0"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3" customWidth="1" min="13" max="13"/>
  </cols>
  <sheetData>
    <row r="1" ht="16" customHeight="1">
      <c r="A1" s="1" t="n"/>
      <c r="B1" s="1" t="n"/>
      <c r="C1" s="1" t="n"/>
      <c r="D1" s="1" t="n"/>
      <c r="E1" s="1" t="n"/>
      <c r="F1" s="1" t="n"/>
      <c r="G1" s="1" t="n"/>
      <c r="H1" s="1" t="n"/>
      <c r="I1" s="1" t="n"/>
      <c r="J1" s="1" t="n"/>
      <c r="K1" s="1" t="n"/>
      <c r="L1" s="1" t="n"/>
      <c r="M1" s="1" t="n"/>
    </row>
    <row r="2" ht="16" customHeight="1">
      <c r="A2" s="1" t="n"/>
      <c r="B2" s="1" t="n"/>
      <c r="C2" s="1" t="n"/>
      <c r="D2" s="1" t="n"/>
      <c r="E2" s="1" t="n"/>
      <c r="F2" s="1" t="n"/>
      <c r="G2" s="1" t="n"/>
      <c r="H2" s="1" t="n"/>
      <c r="I2" s="1" t="n"/>
      <c r="J2" s="1" t="n"/>
      <c r="K2" s="1" t="n"/>
      <c r="L2" s="1" t="n"/>
      <c r="M2" s="1" t="n"/>
    </row>
    <row r="3" ht="16" customHeight="1">
      <c r="A3" s="1" t="n"/>
      <c r="B3" s="1" t="n"/>
      <c r="C3" s="1" t="n"/>
      <c r="D3" s="1" t="n"/>
      <c r="E3" s="1" t="n"/>
      <c r="F3" s="1" t="n"/>
      <c r="G3" s="1" t="n"/>
      <c r="H3" s="1" t="n"/>
      <c r="I3" s="1" t="n"/>
      <c r="J3" s="1" t="n"/>
      <c r="K3" s="1" t="n"/>
      <c r="L3" s="1" t="n"/>
      <c r="M3" s="1" t="n"/>
    </row>
    <row r="4" ht="16" customHeight="1">
      <c r="A4" s="1" t="n"/>
      <c r="B4" s="1" t="n"/>
      <c r="C4" s="1" t="n"/>
      <c r="D4" s="1" t="n"/>
      <c r="E4" s="1" t="n"/>
      <c r="F4" s="1" t="n"/>
      <c r="G4" s="1" t="n"/>
      <c r="H4" s="1" t="n"/>
      <c r="I4" s="1" t="n"/>
      <c r="J4" s="1" t="n"/>
      <c r="K4" s="1" t="n"/>
      <c r="L4" s="1" t="n"/>
      <c r="M4" s="1" t="n"/>
    </row>
    <row r="5" ht="16" customHeight="1">
      <c r="A5" s="1" t="n"/>
      <c r="B5" s="1" t="n"/>
      <c r="C5" s="1" t="n"/>
      <c r="D5" s="1" t="n"/>
      <c r="E5" s="1" t="n"/>
      <c r="F5" s="1" t="n"/>
      <c r="G5" s="1" t="n"/>
      <c r="H5" s="1" t="n"/>
      <c r="I5" s="1" t="n"/>
      <c r="J5" s="1" t="n"/>
      <c r="K5" s="1" t="n"/>
      <c r="L5" s="1" t="n"/>
      <c r="M5" s="1" t="n"/>
    </row>
    <row r="6" ht="16" customHeight="1">
      <c r="A6" s="1" t="n"/>
      <c r="B6" s="1" t="n"/>
      <c r="C6" s="1" t="n"/>
      <c r="D6" s="1" t="n"/>
      <c r="E6" s="1" t="n"/>
      <c r="F6" s="1" t="n"/>
      <c r="G6" s="1" t="n"/>
      <c r="H6" s="1" t="n"/>
      <c r="I6" s="1" t="n"/>
      <c r="J6" s="1" t="n"/>
      <c r="K6" s="1" t="n"/>
      <c r="L6" s="1" t="n"/>
      <c r="M6" s="1" t="n"/>
    </row>
    <row r="7" ht="16" customHeight="1">
      <c r="A7" s="1" t="n"/>
      <c r="B7" s="1" t="n"/>
      <c r="C7" s="1" t="n"/>
      <c r="D7" s="1" t="n"/>
      <c r="E7" s="1" t="n"/>
      <c r="F7" s="1" t="n"/>
      <c r="G7" s="1" t="n"/>
      <c r="H7" s="1" t="n"/>
      <c r="I7" s="1" t="n"/>
      <c r="J7" s="1" t="n"/>
      <c r="K7" s="1" t="n"/>
      <c r="L7" s="1" t="n"/>
      <c r="M7" s="1" t="n"/>
    </row>
    <row r="8" ht="16" customHeight="1">
      <c r="A8" s="1" t="n"/>
      <c r="B8" s="1" t="n"/>
      <c r="C8" s="1" t="n"/>
      <c r="D8" s="1" t="n"/>
      <c r="E8" s="1" t="n"/>
      <c r="F8" s="1" t="n"/>
      <c r="G8" s="1" t="n"/>
      <c r="H8" s="1" t="n"/>
      <c r="I8" s="1" t="n"/>
      <c r="J8" s="1" t="n"/>
      <c r="K8" s="1" t="n"/>
      <c r="L8" s="1" t="n"/>
      <c r="M8" s="1" t="n"/>
    </row>
    <row r="9" ht="16" customHeight="1">
      <c r="A9" s="1" t="n"/>
      <c r="B9" s="1" t="n"/>
      <c r="C9" s="1" t="n"/>
      <c r="D9" s="1" t="n"/>
      <c r="E9" s="1" t="n"/>
      <c r="F9" s="1" t="n"/>
      <c r="G9" s="1" t="n"/>
      <c r="H9" s="1" t="n"/>
      <c r="I9" s="1" t="n"/>
      <c r="J9" s="1" t="n"/>
      <c r="K9" s="1" t="n"/>
      <c r="L9" s="1" t="n"/>
      <c r="M9" s="1" t="n"/>
    </row>
    <row r="10" ht="16" customHeight="1">
      <c r="A10" s="1" t="n"/>
      <c r="B10" s="1" t="n"/>
      <c r="C10" s="1" t="n"/>
      <c r="D10" s="1" t="n"/>
      <c r="E10" s="1" t="n"/>
      <c r="F10" s="1" t="n"/>
      <c r="G10" s="1" t="n"/>
      <c r="H10" s="1" t="n"/>
      <c r="I10" s="1" t="n"/>
      <c r="J10" s="1" t="n"/>
      <c r="K10" s="1" t="n"/>
      <c r="L10" s="1" t="n"/>
      <c r="M10" s="1" t="n"/>
    </row>
    <row r="11" ht="16" customHeight="1">
      <c r="A11" s="1" t="n"/>
      <c r="B11" s="1" t="n"/>
      <c r="C11" s="1" t="n"/>
      <c r="D11" s="1" t="n"/>
      <c r="E11" s="1" t="n"/>
      <c r="F11" s="1" t="n"/>
      <c r="G11" s="1" t="n"/>
      <c r="H11" s="1" t="n"/>
      <c r="I11" s="1" t="n"/>
      <c r="J11" s="1" t="n"/>
      <c r="K11" s="1" t="n"/>
      <c r="L11" s="1" t="n"/>
      <c r="M11" s="1" t="n"/>
    </row>
    <row r="12" ht="16" customHeight="1">
      <c r="A12" s="1" t="n"/>
      <c r="B12" s="1" t="n"/>
      <c r="C12" s="1" t="n"/>
      <c r="D12" s="1" t="n"/>
      <c r="E12" s="1" t="n"/>
      <c r="F12" s="1" t="n"/>
      <c r="G12" s="1" t="n"/>
      <c r="H12" s="1" t="n"/>
      <c r="I12" s="1" t="n"/>
      <c r="J12" s="1" t="n"/>
      <c r="K12" s="1" t="n"/>
      <c r="L12" s="1" t="n"/>
      <c r="M12" s="1" t="n"/>
    </row>
    <row r="13" ht="16" customHeight="1">
      <c r="A13" s="1" t="n"/>
      <c r="B13" s="1" t="n"/>
      <c r="C13" s="1" t="n"/>
      <c r="D13" s="1" t="n"/>
      <c r="E13" s="1" t="n"/>
      <c r="F13" s="1" t="n"/>
      <c r="G13" s="1" t="n"/>
      <c r="H13" s="1" t="n"/>
      <c r="I13" s="1" t="n"/>
      <c r="J13" s="1" t="n"/>
      <c r="K13" s="1" t="n"/>
      <c r="L13" s="1" t="n"/>
      <c r="M13" s="1" t="n"/>
    </row>
    <row r="14" ht="16" customHeight="1">
      <c r="A14" s="1" t="n"/>
      <c r="B14" s="1" t="n"/>
      <c r="C14" s="1" t="n"/>
      <c r="D14" s="1" t="n"/>
      <c r="E14" s="1" t="n"/>
      <c r="F14" s="1" t="n"/>
      <c r="G14" s="1" t="n"/>
      <c r="H14" s="1" t="n"/>
      <c r="I14" s="1" t="n"/>
      <c r="J14" s="1" t="n"/>
      <c r="K14" s="1" t="n"/>
      <c r="L14" s="1" t="n"/>
      <c r="M14" s="1" t="n"/>
    </row>
    <row r="15" ht="16" customHeight="1">
      <c r="A15" s="1" t="n"/>
      <c r="B15" s="1" t="n"/>
      <c r="C15" s="1" t="n"/>
      <c r="D15" s="1" t="n"/>
      <c r="E15" s="1" t="n"/>
      <c r="F15" s="1" t="n"/>
      <c r="G15" s="1" t="n"/>
      <c r="H15" s="1" t="n"/>
      <c r="I15" s="1" t="n"/>
      <c r="J15" s="1" t="n"/>
      <c r="K15" s="1" t="n"/>
      <c r="L15" s="1" t="n"/>
      <c r="M15" s="1" t="n"/>
    </row>
    <row r="16" ht="16" customHeight="1">
      <c r="A16" s="1" t="n"/>
      <c r="B16" s="1" t="n"/>
      <c r="C16" s="1" t="n"/>
      <c r="D16" s="1" t="n"/>
      <c r="E16" s="1" t="n"/>
      <c r="F16" s="1" t="n"/>
      <c r="G16" s="1" t="n"/>
      <c r="H16" s="1" t="n"/>
      <c r="I16" s="1" t="n"/>
      <c r="J16" s="1" t="n"/>
      <c r="K16" s="1" t="n"/>
      <c r="L16" s="1" t="n"/>
      <c r="M16" s="1" t="n"/>
    </row>
    <row r="17" ht="16" customHeight="1">
      <c r="A17" s="1" t="n"/>
      <c r="B17" s="1" t="n"/>
      <c r="C17" s="1" t="n"/>
      <c r="D17" s="1" t="n"/>
      <c r="E17" s="1" t="n"/>
      <c r="F17" s="1" t="n"/>
      <c r="G17" s="1" t="n"/>
      <c r="H17" s="1" t="n"/>
      <c r="I17" s="1" t="n"/>
      <c r="J17" s="1" t="n"/>
      <c r="K17" s="1" t="n"/>
      <c r="L17" s="1" t="n"/>
      <c r="M17" s="1" t="n"/>
    </row>
    <row r="18" ht="16" customHeight="1">
      <c r="A18" s="1" t="n"/>
      <c r="B18" s="1" t="n"/>
      <c r="C18" s="1" t="n"/>
      <c r="D18" s="1" t="n"/>
      <c r="E18" s="1" t="n"/>
      <c r="F18" s="1" t="n"/>
      <c r="G18" s="1" t="n"/>
      <c r="H18" s="1" t="n"/>
      <c r="I18" s="1" t="n"/>
      <c r="J18" s="1" t="n"/>
      <c r="K18" s="1" t="n"/>
      <c r="L18" s="1" t="n"/>
      <c r="M18" s="1" t="n"/>
    </row>
    <row r="19" ht="16" customHeight="1">
      <c r="A19" s="1" t="n"/>
      <c r="B19" s="1" t="n"/>
      <c r="C19" s="1" t="n"/>
      <c r="D19" s="1" t="n"/>
      <c r="E19" s="1" t="n"/>
      <c r="F19" s="1" t="n"/>
      <c r="G19" s="1" t="n"/>
      <c r="H19" s="1" t="n"/>
      <c r="I19" s="1" t="n"/>
      <c r="J19" s="1" t="n"/>
      <c r="K19" s="1" t="n"/>
      <c r="L19" s="1" t="n"/>
      <c r="M19" s="1" t="n"/>
    </row>
    <row r="20" ht="34" customHeight="1">
      <c r="A20" s="1" t="n"/>
      <c r="B20" s="2" t="n"/>
      <c r="C20" s="2" t="n"/>
      <c r="D20" s="2" t="n"/>
      <c r="E20" s="2" t="n"/>
      <c r="F20" s="2" t="n"/>
      <c r="G20" s="2" t="n"/>
      <c r="H20" s="2" t="n"/>
      <c r="I20" s="2" t="n"/>
      <c r="J20" s="2" t="n"/>
      <c r="K20" s="2" t="n"/>
      <c r="L20" s="2" t="inlineStr">
        <is>
          <t>AI DATA CENTER DEVELOPMENT PLATFORM</t>
        </is>
      </c>
      <c r="M20" s="1" t="n"/>
    </row>
    <row r="21" ht="6" customHeight="1">
      <c r="A21" s="1" t="n"/>
      <c r="B21" s="1" t="n"/>
      <c r="C21" s="1" t="n"/>
      <c r="D21" s="1" t="n"/>
      <c r="E21" s="1" t="n"/>
      <c r="F21" s="1" t="n"/>
      <c r="G21" s="1" t="n"/>
      <c r="H21" s="1" t="n"/>
      <c r="I21" s="3" t="n"/>
      <c r="J21" s="3" t="n"/>
      <c r="K21" s="3" t="n"/>
      <c r="L21" s="3" t="n"/>
      <c r="M21" s="1" t="n"/>
    </row>
    <row r="22" ht="16" customHeight="1">
      <c r="A22" s="1" t="n"/>
      <c r="B22" s="1" t="n"/>
      <c r="C22" s="1" t="n"/>
      <c r="D22" s="1" t="n"/>
      <c r="E22" s="1" t="n"/>
      <c r="F22" s="1" t="n"/>
      <c r="G22" s="1" t="n"/>
      <c r="H22" s="1" t="n"/>
      <c r="I22" s="1" t="n"/>
      <c r="J22" s="1" t="n"/>
      <c r="K22" s="1" t="n"/>
      <c r="L22" s="1" t="n"/>
      <c r="M22" s="1" t="n"/>
    </row>
    <row r="23" ht="23.8" customHeight="1">
      <c r="A23" s="1" t="n"/>
      <c r="B23" s="4" t="n"/>
      <c r="C23" s="4" t="n"/>
      <c r="D23" s="4" t="n"/>
      <c r="E23" s="4" t="n"/>
      <c r="F23" s="4" t="n"/>
      <c r="G23" s="4" t="n"/>
      <c r="H23" s="4" t="n"/>
      <c r="I23" s="4" t="n"/>
      <c r="J23" s="4" t="n"/>
      <c r="K23" s="4" t="n"/>
      <c r="L23" s="4" t="inlineStr">
        <is>
          <t>5.0 GW Program</t>
        </is>
      </c>
      <c r="M23" s="1" t="n"/>
    </row>
    <row r="24" ht="20.4" customHeight="1">
      <c r="A24" s="1" t="n"/>
      <c r="B24" s="5" t="n"/>
      <c r="C24" s="5" t="n"/>
      <c r="D24" s="5" t="n"/>
      <c r="E24" s="5" t="n"/>
      <c r="F24" s="5" t="n"/>
      <c r="G24" s="5" t="n"/>
      <c r="H24" s="5" t="n"/>
      <c r="I24" s="5" t="n"/>
      <c r="J24" s="5" t="n"/>
      <c r="K24" s="5" t="n"/>
      <c r="L24" s="5" t="inlineStr">
        <is>
          <t>Market Sizing, Buildout Economics and Valuation Comparables</t>
        </is>
      </c>
      <c r="M24" s="1" t="n"/>
    </row>
    <row r="25" ht="16" customHeight="1">
      <c r="A25" s="1" t="n"/>
      <c r="B25" s="1" t="n"/>
      <c r="C25" s="1" t="n"/>
      <c r="D25" s="1" t="n"/>
      <c r="E25" s="1" t="n"/>
      <c r="F25" s="1" t="n"/>
      <c r="G25" s="1" t="n"/>
      <c r="H25" s="1" t="n"/>
      <c r="I25" s="1" t="n"/>
      <c r="J25" s="1" t="n"/>
      <c r="K25" s="1" t="n"/>
      <c r="L25" s="1" t="n"/>
      <c r="M25" s="1" t="n"/>
    </row>
    <row r="26" ht="17" customHeight="1">
      <c r="A26" s="1" t="n"/>
      <c r="B26" s="6" t="n"/>
      <c r="C26" s="6" t="n"/>
      <c r="D26" s="6" t="n"/>
      <c r="E26" s="6" t="n"/>
      <c r="F26" s="6" t="n"/>
      <c r="G26" s="6" t="n"/>
      <c r="H26" s="6" t="n"/>
      <c r="I26" s="6" t="n"/>
      <c r="J26" s="6" t="n"/>
      <c r="K26" s="6" t="n"/>
      <c r="L26" s="6" t="inlineStr">
        <is>
          <t>Prepared for investor discussion</t>
        </is>
      </c>
      <c r="M26" s="1" t="n"/>
    </row>
    <row r="27" ht="17" customHeight="1">
      <c r="A27" s="1" t="n"/>
      <c r="B27" s="6" t="n"/>
      <c r="C27" s="6" t="n"/>
      <c r="D27" s="6" t="n"/>
      <c r="E27" s="6" t="n"/>
      <c r="F27" s="6" t="n"/>
      <c r="G27" s="6" t="n"/>
      <c r="H27" s="6" t="n"/>
      <c r="I27" s="6" t="n"/>
      <c r="J27" s="6" t="n"/>
      <c r="K27" s="6" t="n"/>
      <c r="L27" s="6" t="inlineStr">
        <is>
          <t>September 2026</t>
        </is>
      </c>
      <c r="M27" s="1" t="n"/>
    </row>
    <row r="28" ht="16" customHeight="1">
      <c r="A28" s="1" t="n"/>
      <c r="B28" s="1" t="n"/>
      <c r="C28" s="1" t="n"/>
      <c r="D28" s="1" t="n"/>
      <c r="E28" s="1" t="n"/>
      <c r="F28" s="1" t="n"/>
      <c r="G28" s="1" t="n"/>
      <c r="H28" s="1" t="n"/>
      <c r="I28" s="1" t="n"/>
      <c r="J28" s="1" t="n"/>
      <c r="K28" s="1" t="n"/>
      <c r="L28" s="1" t="n"/>
      <c r="M28" s="1" t="n"/>
    </row>
    <row r="29" ht="16" customHeight="1">
      <c r="A29" s="1" t="n"/>
      <c r="B29" s="1" t="n"/>
      <c r="C29" s="1" t="n"/>
      <c r="D29" s="1" t="n"/>
      <c r="E29" s="1" t="n"/>
      <c r="F29" s="1" t="n"/>
      <c r="G29" s="1" t="n"/>
      <c r="H29" s="1" t="n"/>
      <c r="I29" s="1" t="n"/>
      <c r="J29" s="1" t="n"/>
      <c r="K29" s="1" t="n"/>
      <c r="L29" s="1" t="n"/>
      <c r="M29" s="1" t="n"/>
    </row>
    <row r="30" ht="16" customHeight="1">
      <c r="A30" s="1" t="n"/>
      <c r="B30" s="1" t="n"/>
      <c r="C30" s="1" t="n"/>
      <c r="D30" s="1" t="n"/>
      <c r="E30" s="1" t="n"/>
      <c r="F30" s="1" t="n"/>
      <c r="G30" s="1" t="n"/>
      <c r="H30" s="1" t="n"/>
      <c r="I30" s="1" t="n"/>
      <c r="J30" s="1" t="n"/>
      <c r="K30" s="1" t="n"/>
      <c r="L30" s="1" t="n"/>
      <c r="M30" s="1" t="n"/>
    </row>
    <row r="31" ht="11.9" customHeight="1">
      <c r="A31" s="1" t="n"/>
      <c r="B31" s="7" t="n"/>
      <c r="C31" s="7" t="n"/>
      <c r="D31" s="7" t="n"/>
      <c r="E31" s="7" t="n"/>
      <c r="F31" s="7" t="n"/>
      <c r="G31" s="7" t="n"/>
      <c r="H31" s="7" t="n"/>
      <c r="I31" s="7" t="n"/>
      <c r="J31" s="7" t="n"/>
      <c r="K31" s="7" t="n"/>
      <c r="L31" s="7" t="inlineStr">
        <is>
          <t>CONFIDENTIAL   |   FOR DISCUSSION PURPOSES ONLY   |   NOT AN OFFER TO SELL OR A SOLICITATION OF AN OFFER TO BUY SECURITIES</t>
        </is>
      </c>
      <c r="M31" s="1" t="n"/>
    </row>
    <row r="32" ht="11.9" customHeight="1">
      <c r="A32" s="1" t="n"/>
      <c r="B32" s="8" t="n"/>
      <c r="C32" s="8" t="n"/>
      <c r="D32" s="8" t="n"/>
      <c r="E32" s="8" t="n"/>
      <c r="F32" s="8" t="n"/>
      <c r="G32" s="8" t="n"/>
      <c r="H32" s="8" t="n"/>
      <c r="I32" s="8" t="n"/>
      <c r="J32" s="8" t="n"/>
      <c r="K32" s="8" t="n"/>
      <c r="L32" s="8" t="inlineStr">
        <is>
          <t>All market data sourced as of September 2026. See the Sources tab.</t>
        </is>
      </c>
      <c r="M32" s="1" t="n"/>
    </row>
    <row r="33" ht="16" customHeight="1">
      <c r="A33" s="1" t="n"/>
      <c r="B33" s="1" t="n"/>
      <c r="C33" s="1" t="n"/>
      <c r="D33" s="1" t="n"/>
      <c r="E33" s="1" t="n"/>
      <c r="F33" s="1" t="n"/>
      <c r="G33" s="1" t="n"/>
      <c r="H33" s="1" t="n"/>
      <c r="I33" s="1" t="n"/>
      <c r="J33" s="1" t="n"/>
      <c r="K33" s="1" t="n"/>
      <c r="L33" s="1" t="n"/>
      <c r="M33" s="1" t="n"/>
    </row>
  </sheetData>
  <pageMargins left="0.75" right="0.75" top="1" bottom="1" header="0.5" footer="0.5"/>
  <pageSetup orientation="landscape" fitToHeight="0" fitToWidth="1"/>
  <headerFooter>
    <oddHeader/>
    <oddFooter>&amp;L&amp;6 &amp;K9AA0A8CONFIDENTIAL   |   FOR DISCUSSION PURPOSES ONLY   |   NOT AN OFFER TO SELL OR A SOLICITATION OF AN OFFER TO BUY SECURITIES&amp;R&amp;6 &amp;K9AA0A8Page &amp;P of &amp;N</oddFooter>
    <evenHeader/>
    <evenFooter/>
    <firstHeader/>
    <firstFooter/>
  </headerFooter>
</worksheet>
</file>

<file path=xl/worksheets/sheet2.xml><?xml version="1.0" encoding="utf-8"?>
<worksheet xmlns="http://schemas.openxmlformats.org/spreadsheetml/2006/main">
  <sheetPr>
    <tabColor rgb="000F2F51"/>
    <outlinePr summaryBelow="1" summaryRight="1"/>
    <pageSetUpPr fitToPage="1"/>
  </sheetPr>
  <dimension ref="B2:F5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48" customWidth="1" min="2" max="2"/>
    <col width="14" customWidth="1" min="3" max="3"/>
    <col width="14" customWidth="1" min="4" max="4"/>
    <col width="4" customWidth="1" min="5" max="5"/>
    <col width="100" customWidth="1" min="6" max="6"/>
  </cols>
  <sheetData>
    <row r="2" ht="20" customHeight="1">
      <c r="B2" s="9" t="inlineStr">
        <is>
          <t>EXECUTIVE SUMMARY (1 OF 1)</t>
        </is>
      </c>
      <c r="C2" s="9" t="n"/>
      <c r="D2" s="9" t="n"/>
      <c r="E2" s="9" t="n"/>
      <c r="F2" s="9" t="n"/>
    </row>
    <row r="3" ht="4" customHeight="1">
      <c r="B3" s="3" t="n"/>
      <c r="C3" s="3" t="n"/>
      <c r="D3" s="3" t="n"/>
      <c r="E3" s="3" t="n"/>
      <c r="F3" s="3" t="n"/>
    </row>
    <row r="5" ht="17" customHeight="1">
      <c r="B5" s="10" t="inlineStr">
        <is>
          <t>A.  THE MARKET IS STRUCTURALLY SHORT AND THE SHORTAGE IS WIDENING</t>
        </is>
      </c>
      <c r="C5" s="10" t="n"/>
      <c r="D5" s="10" t="n"/>
      <c r="E5" s="10" t="n"/>
      <c r="F5" s="10" t="n"/>
    </row>
    <row r="6" ht="28" customHeight="1">
      <c r="B6" s="11" t="inlineStr">
        <is>
          <t>Metric</t>
        </is>
      </c>
      <c r="C6" s="11" t="inlineStr">
        <is>
          <t>Value</t>
        </is>
      </c>
      <c r="D6" s="11" t="inlineStr">
        <is>
          <t>Comparison</t>
        </is>
      </c>
      <c r="E6" s="11" t="inlineStr"/>
      <c r="F6" s="11" t="inlineStr">
        <is>
          <t>Observation</t>
        </is>
      </c>
    </row>
    <row r="7" ht="26" customHeight="1">
      <c r="B7" s="12" t="inlineStr">
        <is>
          <t>Primary market vacancy, H1 2026</t>
        </is>
      </c>
      <c r="C7" s="13">
        <f>Vacancy_H1_2026</f>
        <v/>
      </c>
      <c r="D7" s="14" t="inlineStr">
        <is>
          <t>1.6% prior year</t>
        </is>
      </c>
      <c r="E7" s="15" t="n"/>
      <c r="F7" s="16" t="inlineStr">
        <is>
          <t>Vacancy fell while inventory grew 33.7%, so record delivery did not loosen the market.</t>
        </is>
      </c>
    </row>
    <row r="8" ht="26" customHeight="1">
      <c r="B8" s="17" t="inlineStr">
        <is>
          <t>Preleased share of capacity under construction</t>
        </is>
      </c>
      <c r="C8" s="18">
        <f>Prelease_H1_2026</f>
        <v/>
      </c>
      <c r="D8" s="19" t="inlineStr">
        <is>
          <t>40% to 50% norm</t>
        </is>
      </c>
      <c r="F8" s="20" t="inlineStr">
        <is>
          <t>Four megawatts in five are committed before the building is finished.</t>
        </is>
      </c>
    </row>
    <row r="9" ht="26" customHeight="1">
      <c r="B9" s="12" t="inlineStr">
        <is>
          <t>US installed capacity forecast, 2030</t>
        </is>
      </c>
      <c r="C9" s="21">
        <f>Installed_2030</f>
        <v/>
      </c>
      <c r="D9" s="14" t="inlineStr">
        <is>
          <t>60 GW in 2026</t>
        </is>
      </c>
      <c r="E9" s="15" t="n"/>
      <c r="F9" s="16" t="inlineStr">
        <is>
          <t>BloombergNEF revised its 2030 forecast upward by 52% in July 2026 alone.</t>
        </is>
      </c>
    </row>
    <row r="10" ht="26" customHeight="1">
      <c r="B10" s="17" t="inlineStr">
        <is>
          <t>Cumulative supply shortfall, 2026 through 2030</t>
        </is>
      </c>
      <c r="C10" s="22">
        <f>Cum_Shortfall_2030</f>
        <v/>
      </c>
      <c r="D10" s="19" t="inlineStr">
        <is>
          <t>GW of IT load</t>
        </is>
      </c>
      <c r="F10" s="20" t="inlineStr">
        <is>
          <t>Committed AI capital exceeds what the supply chain can physically energize.</t>
        </is>
      </c>
    </row>
    <row r="11" ht="26" customHeight="1">
      <c r="B11" s="12" t="inlineStr">
        <is>
          <t>Program share of the cumulative shortfall</t>
        </is>
      </c>
      <c r="C11" s="13">
        <f>Share_Of_Shortfall</f>
        <v/>
      </c>
      <c r="D11" s="14" t="inlineStr">
        <is>
          <t>of the 2030 gap</t>
        </is>
      </c>
      <c r="E11" s="15" t="n"/>
      <c r="F11" s="16" t="inlineStr">
        <is>
          <t>A 5.0 GW program absorbs a minority of the gap rather than creating oversupply.</t>
        </is>
      </c>
    </row>
    <row r="13">
      <c r="B13" s="23" t="inlineStr">
        <is>
          <t>Blue figures are links to the TAM tab. See that tab for the full supply and demand build.</t>
        </is>
      </c>
    </row>
    <row r="15" ht="17" customHeight="1">
      <c r="B15" s="10" t="inlineStr">
        <is>
          <t>B.  PROGRAM ECONOMICS</t>
        </is>
      </c>
      <c r="C15" s="10" t="n"/>
      <c r="D15" s="10" t="n"/>
      <c r="E15" s="10" t="n"/>
      <c r="F15" s="10" t="n"/>
    </row>
    <row r="16" ht="28" customHeight="1">
      <c r="B16" s="11" t="inlineStr">
        <is>
          <t>Metric</t>
        </is>
      </c>
      <c r="C16" s="11" t="inlineStr">
        <is>
          <t>Value</t>
        </is>
      </c>
      <c r="D16" s="11" t="inlineStr">
        <is>
          <t>Unit</t>
        </is>
      </c>
      <c r="E16" s="11" t="inlineStr"/>
      <c r="F16" s="11" t="inlineStr">
        <is>
          <t>Observation</t>
        </is>
      </c>
    </row>
    <row r="17" ht="26" customHeight="1">
      <c r="B17" s="12" t="inlineStr">
        <is>
          <t>Program capacity at full buildout</t>
        </is>
      </c>
      <c r="C17" s="21">
        <f>Program_Capacity_GW</f>
        <v/>
      </c>
      <c r="D17" s="14" t="inlineStr">
        <is>
          <t>GW</t>
        </is>
      </c>
      <c r="E17" s="15" t="n"/>
      <c r="F17" s="16" t="inlineStr">
        <is>
          <t>Delivered in eight phases of 150 MW to 900 MW between 2027 and 2034.</t>
        </is>
      </c>
    </row>
    <row r="18" ht="26" customHeight="1">
      <c r="B18" s="17" t="inlineStr">
        <is>
          <t>Development cost per MW, base case</t>
        </is>
      </c>
      <c r="C18" s="24">
        <f>Cost_Per_MW_Base</f>
        <v/>
      </c>
      <c r="D18" s="19" t="inlineStr">
        <is>
          <t>$M per MW</t>
        </is>
      </c>
      <c r="F18" s="20" t="inlineStr">
        <is>
          <t>Ties to the Cushman &amp; Wakefield 2026 US greenfield average of $17.6M per MW.</t>
        </is>
      </c>
    </row>
    <row r="19" ht="26" customHeight="1">
      <c r="B19" s="12" t="inlineStr">
        <is>
          <t>Total development capital, base case</t>
        </is>
      </c>
      <c r="C19" s="25">
        <f>Total_Dev_Capital</f>
        <v/>
      </c>
      <c r="D19" s="14" t="inlineStr">
        <is>
          <t>$M</t>
        </is>
      </c>
      <c r="E19" s="15" t="n"/>
      <c r="F19" s="16" t="inlineStr">
        <is>
          <t>Excludes IT equipment, which is funded by the offtaker.</t>
        </is>
      </c>
    </row>
    <row r="20" ht="26" customHeight="1">
      <c r="B20" s="17" t="inlineStr">
        <is>
          <t>Stabilized yield on cost, base case</t>
        </is>
      </c>
      <c r="C20" s="18">
        <f>Yield_On_Cost_Base</f>
        <v/>
      </c>
      <c r="D20" s="19" t="inlineStr">
        <is>
          <t>%</t>
        </is>
      </c>
      <c r="F20" s="20" t="inlineStr">
        <is>
          <t>Struck on a triple net lease rate of $165 per kW per month.</t>
        </is>
      </c>
    </row>
    <row r="21" ht="26" customHeight="1">
      <c r="B21" s="12" t="inlineStr">
        <is>
          <t>Development spread to a 6.0% exit</t>
        </is>
      </c>
      <c r="C21" s="26">
        <f>Dev_Spread_Base</f>
        <v/>
      </c>
      <c r="D21" s="14" t="inlineStr">
        <is>
          <t>bps</t>
        </is>
      </c>
      <c r="E21" s="15" t="n"/>
      <c r="F21" s="16" t="inlineStr">
        <is>
          <t>The spread is the entire investment case and it is a function of delivery, not of leasing.</t>
        </is>
      </c>
    </row>
    <row r="22" ht="26" customHeight="1">
      <c r="B22" s="17" t="inlineStr">
        <is>
          <t>Stabilized value per MW</t>
        </is>
      </c>
      <c r="C22" s="24">
        <f>Stab_Value_Per_MW</f>
        <v/>
      </c>
      <c r="D22" s="19" t="inlineStr">
        <is>
          <t>$M per MW</t>
        </is>
      </c>
      <c r="F22" s="20" t="inlineStr">
        <is>
          <t>Against a base case build cost of roughly $17.6M per MW.</t>
        </is>
      </c>
    </row>
    <row r="23" ht="26" customHeight="1">
      <c r="B23" s="12" t="inlineStr">
        <is>
          <t>Gross value creation at full buildout</t>
        </is>
      </c>
      <c r="C23" s="25">
        <f>Program_Value_Creation</f>
        <v/>
      </c>
      <c r="D23" s="14" t="inlineStr">
        <is>
          <t>$M</t>
        </is>
      </c>
      <c r="E23" s="15" t="n"/>
      <c r="F23" s="16" t="inlineStr">
        <is>
          <t>Before capitalized interest, financing costs, overhead, tax and promote.</t>
        </is>
      </c>
    </row>
    <row r="25">
      <c r="B25" s="23" t="inlineStr">
        <is>
          <t>Gross value creation assumes full leaseup at the stabilized rate with no vacancy allowance. It is the upper bound of the opportunity and not an underwritten return. See the Buildout Costs tab for the full cost stack and sensitivity.</t>
        </is>
      </c>
    </row>
    <row r="27" ht="17" customHeight="1">
      <c r="B27" s="10" t="inlineStr">
        <is>
          <t>C.  VALUATION BENCHMARKS</t>
        </is>
      </c>
      <c r="C27" s="10" t="n"/>
      <c r="D27" s="10" t="n"/>
      <c r="E27" s="10" t="n"/>
      <c r="F27" s="10" t="n"/>
    </row>
    <row r="28" ht="28" customHeight="1">
      <c r="B28" s="11" t="inlineStr">
        <is>
          <t>Benchmark</t>
        </is>
      </c>
      <c r="C28" s="11" t="inlineStr">
        <is>
          <t>Value</t>
        </is>
      </c>
      <c r="D28" s="11" t="inlineStr">
        <is>
          <t>Unit</t>
        </is>
      </c>
      <c r="E28" s="11" t="inlineStr"/>
      <c r="F28" s="11" t="inlineStr">
        <is>
          <t>Observation</t>
        </is>
      </c>
    </row>
    <row r="29" ht="26" customHeight="1">
      <c r="B29" s="12" t="inlineStr">
        <is>
          <t>Private platform M&amp;A, median EV per operating MW</t>
        </is>
      </c>
      <c r="C29" s="21">
        <f>Prv_Median_EV_Per_Operating_MW</f>
        <v/>
      </c>
      <c r="D29" s="14" t="inlineStr">
        <is>
          <t>$M per MW</t>
        </is>
      </c>
      <c r="E29" s="15" t="n"/>
      <c r="F29" s="16" t="inlineStr">
        <is>
          <t>Seven platform transactions from 2021 through 2025, Aligned through QTS.</t>
        </is>
      </c>
    </row>
    <row r="30" ht="26" customHeight="1">
      <c r="B30" s="17" t="inlineStr">
        <is>
          <t>Private platform M&amp;A, median EV per total MW</t>
        </is>
      </c>
      <c r="C30" s="22">
        <f>Prv_Median_EV_Per_Total_MW</f>
        <v/>
      </c>
      <c r="D30" s="19" t="inlineStr">
        <is>
          <t>$M per MW</t>
        </is>
      </c>
      <c r="F30" s="20" t="inlineStr">
        <is>
          <t>Same transactions measured across operating plus pipeline capacity.</t>
        </is>
      </c>
    </row>
    <row r="31" ht="26" customHeight="1">
      <c r="B31" s="12" t="inlineStr">
        <is>
          <t>Listed comparables, median EV per secured MW</t>
        </is>
      </c>
      <c r="C31" s="21">
        <f>Pub_Median_EV_Per_Secured_MW</f>
        <v/>
      </c>
      <c r="D31" s="14" t="inlineStr">
        <is>
          <t>$M per MW</t>
        </is>
      </c>
      <c r="E31" s="15" t="n"/>
      <c r="F31" s="16" t="inlineStr">
        <is>
          <t>Seven listed owners spanning REITs, AI cloud platforms and powered land.</t>
        </is>
      </c>
    </row>
    <row r="32" ht="26" customHeight="1">
      <c r="B32" s="17" t="inlineStr">
        <is>
          <t>Listed comparables, median EV to EBITDA</t>
        </is>
      </c>
      <c r="C32" s="27">
        <f>Pub_Median_EV_EBITDA</f>
        <v/>
      </c>
      <c r="D32" s="19" t="inlineStr">
        <is>
          <t>x</t>
        </is>
      </c>
      <c r="F32" s="20" t="inlineStr">
        <is>
          <t>Refresh required before distribution.</t>
        </is>
      </c>
    </row>
    <row r="33" ht="26" customHeight="1">
      <c r="B33" s="12" t="inlineStr">
        <is>
          <t>Frontier campus, implied cost per MW</t>
        </is>
      </c>
      <c r="C33" s="21">
        <f>Frontier_Cost_Per_MW</f>
        <v/>
      </c>
      <c r="D33" s="14" t="inlineStr">
        <is>
          <t>$M per MW</t>
        </is>
      </c>
      <c r="E33" s="15" t="n"/>
      <c r="F33" s="16" t="inlineStr">
        <is>
          <t>A 1.4 GW, $25B program that validates the base case cost stack within 2%.</t>
        </is>
      </c>
    </row>
    <row r="34" ht="26" customHeight="1">
      <c r="B34" s="17" t="inlineStr">
        <is>
          <t>Disclosed colocation contracts, median implied rate</t>
        </is>
      </c>
      <c r="C34" s="28">
        <f>Colo_Median_Rate_kW_Mo</f>
        <v/>
      </c>
      <c r="D34" s="19" t="inlineStr">
        <is>
          <t>$ per kW per month</t>
        </is>
      </c>
      <c r="F34" s="20" t="inlineStr">
        <is>
          <t>Derived from the TeraWulf and Galaxy Digital hosting contracts.</t>
        </is>
      </c>
    </row>
    <row r="35" ht="26" customHeight="1">
      <c r="B35" s="12" t="inlineStr">
        <is>
          <t>Base case lease rate, premium to that median</t>
        </is>
      </c>
      <c r="C35" s="13">
        <f>Rate_Premium_To_Colo</f>
        <v/>
      </c>
      <c r="D35" s="14" t="inlineStr">
        <is>
          <t>%</t>
        </is>
      </c>
      <c r="E35" s="15" t="n"/>
      <c r="F35" s="16" t="inlineStr">
        <is>
          <t>The assumption most worth testing. Every 10% cut to the rate removes roughly 110 bps of yield on cost.</t>
        </is>
      </c>
    </row>
    <row r="37">
      <c r="B37" s="23" t="inlineStr">
        <is>
          <t>A pipeline is worth a fraction of an operating megawatt. Read every dollar per megawatt figure alongside the denominator it is struck on, because the same Aligned transaction prices at $8M per MW on total capacity and near $27M per MW on operating capacity.</t>
        </is>
      </c>
    </row>
    <row r="39" ht="17" customHeight="1">
      <c r="B39" s="10" t="inlineStr">
        <is>
          <t>D.  KEY RISKS AND MITIGANTS</t>
        </is>
      </c>
      <c r="C39" s="10" t="n"/>
      <c r="D39" s="10" t="n"/>
      <c r="E39" s="10" t="n"/>
      <c r="F39" s="10" t="n"/>
    </row>
    <row r="40" ht="46" customHeight="1">
      <c r="B40" s="29" t="inlineStr">
        <is>
          <t>Power interconnection timing</t>
        </is>
      </c>
      <c r="C40" s="15" t="n"/>
      <c r="D40" s="15" t="n"/>
      <c r="E40" s="15" t="n"/>
      <c r="F40" s="30" t="inlineStr">
        <is>
          <t>We view time to power as the binding constraint on the program. Power transformers carry average lead times of 128 weeks and generator step up units 144 weeks, while interconnection queues average more than three years to an agreement and a further four years to energization.</t>
        </is>
      </c>
    </row>
    <row r="41" ht="40" customHeight="1">
      <c r="B41" s="31" t="n"/>
      <c r="C41" s="32" t="n"/>
      <c r="D41" s="32" t="n"/>
      <c r="E41" s="32" t="n"/>
      <c r="F41" s="33" t="inlineStr">
        <is>
          <t>Mitigant: we would acquire only sites carrying an executed interconnection agreement or a firm capacity allocation, and place long lead electrical orders at land close rather than at notice to proceed.</t>
        </is>
      </c>
    </row>
    <row r="42" ht="46" customHeight="1">
      <c r="B42" s="29" t="inlineStr">
        <is>
          <t>Offtaker concentration</t>
        </is>
      </c>
      <c r="C42" s="15" t="n"/>
      <c r="D42" s="15" t="n"/>
      <c r="E42" s="15" t="n"/>
      <c r="F42" s="30" t="inlineStr">
        <is>
          <t>We think counterparty concentration is the most underappreciated risk in the sector, because a small number of hyperscale and AI lab balance sheets control the large majority of large block demand.</t>
        </is>
      </c>
    </row>
    <row r="43" ht="40" customHeight="1">
      <c r="B43" s="31" t="n"/>
      <c r="C43" s="32" t="n"/>
      <c r="D43" s="32" t="n"/>
      <c r="E43" s="32" t="n"/>
      <c r="F43" s="33" t="inlineStr">
        <is>
          <t>Mitigant: we would target a minimum of three distinct offtakers across the first 2.0 GW and require a parent guarantee wherever the contracting entity sits below investment grade.</t>
        </is>
      </c>
    </row>
    <row r="44" ht="46" customHeight="1">
      <c r="B44" s="29" t="inlineStr">
        <is>
          <t>Capital intensity and financing access</t>
        </is>
      </c>
      <c r="C44" s="15" t="n"/>
      <c r="D44" s="15" t="n"/>
      <c r="E44" s="15" t="n"/>
      <c r="F44" s="30" t="inlineStr">
        <is>
          <t>We believe the base case funding requirement of roughly $88B is the single largest execution risk, since it must be raised across a market cycle rather than at one point in time.</t>
        </is>
      </c>
    </row>
    <row r="45" ht="40" customHeight="1">
      <c r="B45" s="31" t="n"/>
      <c r="C45" s="32" t="n"/>
      <c r="D45" s="32" t="n"/>
      <c r="E45" s="32" t="n"/>
      <c r="F45" s="33" t="inlineStr">
        <is>
          <t>Mitigant: we would phase delivery in tranches of 500 MW to 900 MW, each separately financed against its own contracted cash flow, so that no tranche depends on the next one clearing.</t>
        </is>
      </c>
    </row>
    <row r="46" ht="46" customHeight="1">
      <c r="B46" s="29" t="inlineStr">
        <is>
          <t>Construction cost escalation</t>
        </is>
      </c>
      <c r="C46" s="15" t="n"/>
      <c r="D46" s="15" t="n"/>
      <c r="E46" s="15" t="n"/>
      <c r="F46" s="30" t="inlineStr">
        <is>
          <t>We note that average greenfield cost per MW rose 21% in the most recent measurement period, driven by liquid cooling scope, electrical equipment pricing and skilled labor scarcity.</t>
        </is>
      </c>
    </row>
    <row r="47" ht="40" customHeight="1">
      <c r="B47" s="31" t="n"/>
      <c r="C47" s="32" t="n"/>
      <c r="D47" s="32" t="n"/>
      <c r="E47" s="32" t="n"/>
      <c r="F47" s="33" t="inlineStr">
        <is>
          <t>Mitigant: we would lock a guaranteed maximum price at each tranche notice to proceed and carry the 7.5% contingency held in the base case rather than releasing it into the budget.</t>
        </is>
      </c>
    </row>
    <row r="48" ht="46" customHeight="1">
      <c r="B48" s="29" t="inlineStr">
        <is>
          <t>Technology obsolescence</t>
        </is>
      </c>
      <c r="C48" s="15" t="n"/>
      <c r="D48" s="15" t="n"/>
      <c r="E48" s="15" t="n"/>
      <c r="F48" s="30" t="inlineStr">
        <is>
          <t>We view rack density escalation as a genuine stranding risk, since designs built to today's densities may not accommodate the next generation of accelerators.</t>
        </is>
      </c>
    </row>
    <row r="49" ht="40" customHeight="1">
      <c r="B49" s="31" t="n"/>
      <c r="C49" s="32" t="n"/>
      <c r="D49" s="32" t="n"/>
      <c r="E49" s="32" t="n"/>
      <c r="F49" s="33" t="inlineStr">
        <is>
          <t>Mitigant: we would design to a liquid cooling ready standard with provision for 250 kW per rack and modular coolant distribution capacity, accepting a modest cost premium for optionality.</t>
        </is>
      </c>
    </row>
    <row r="50" ht="46" customHeight="1">
      <c r="B50" s="29" t="inlineStr">
        <is>
          <t>Demand air pocket</t>
        </is>
      </c>
      <c r="C50" s="15" t="n"/>
      <c r="D50" s="15" t="n"/>
      <c r="E50" s="15" t="n"/>
      <c r="F50" s="30" t="inlineStr">
        <is>
          <t>We think a pause in AI capital expenditure is the principal tail risk, given how concentrated the demand is across a handful of spending programs.</t>
        </is>
      </c>
    </row>
    <row r="51" ht="40" customHeight="1">
      <c r="B51" s="31" t="n"/>
      <c r="C51" s="32" t="n"/>
      <c r="D51" s="32" t="n"/>
      <c r="E51" s="32" t="n"/>
      <c r="F51" s="33" t="inlineStr">
        <is>
          <t>Mitigant: we would underwrite contracted rent only, take no speculative leaseup credit in the base case, and hold delivery of any uncontracted tranche until an offtaker is signed.</t>
        </is>
      </c>
    </row>
    <row r="53">
      <c r="B53" s="23" t="inlineStr">
        <is>
          <t>Risk statements use the analytical voice. Every risk carries a paired mitigant directly beneath it, shaded light green.</t>
        </is>
      </c>
    </row>
  </sheetData>
  <pageMargins left="0.75" right="0.75" top="1" bottom="1" header="0.5" footer="0.5"/>
  <pageSetup orientation="landscape" fitToHeight="0" fitToWidth="1"/>
  <headerFooter>
    <oddHeader/>
    <oddFooter>&amp;L&amp;6 &amp;K9AA0A8CONFIDENTIAL   |   FOR DISCUSSION PURPOSES ONLY   |   NOT AN OFFER TO SELL OR A SOLICITATION OF AN OFFER TO BUY SECURITIES&amp;R&amp;6 &amp;K9AA0A8Page &amp;P of &amp;N</oddFooter>
    <evenHeader/>
    <evenFooter/>
    <firstHeader/>
    <firstFooter/>
  </headerFooter>
</worksheet>
</file>

<file path=xl/worksheets/sheet3.xml><?xml version="1.0" encoding="utf-8"?>
<worksheet xmlns="http://schemas.openxmlformats.org/spreadsheetml/2006/main">
  <sheetPr>
    <tabColor rgb="000F2F51"/>
    <outlinePr summaryBelow="1" summaryRight="1"/>
    <pageSetUpPr fitToPage="1"/>
  </sheetPr>
  <dimension ref="B2:O61"/>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2" customWidth="1" min="1" max="1"/>
    <col width="46" customWidth="1" min="2" max="2"/>
    <col width="9"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2" customWidth="1" min="16" max="16"/>
  </cols>
  <sheetData>
    <row r="2" ht="20" customHeight="1">
      <c r="B2" s="9" t="inlineStr">
        <is>
          <t>TOTAL ADDRESSABLE MARKET: US DATA CENTER SUPPLY AND DEMAND (1 OF 1)</t>
        </is>
      </c>
      <c r="C2" s="9" t="n"/>
      <c r="D2" s="9" t="n"/>
      <c r="E2" s="9" t="n"/>
      <c r="F2" s="9" t="n"/>
      <c r="G2" s="9" t="n"/>
      <c r="H2" s="9" t="n"/>
      <c r="I2" s="9" t="n"/>
      <c r="J2" s="9" t="n"/>
      <c r="K2" s="9" t="n"/>
      <c r="L2" s="9" t="n"/>
      <c r="M2" s="9" t="n"/>
      <c r="N2" s="9" t="n"/>
      <c r="O2" s="9" t="n"/>
    </row>
    <row r="3" ht="4" customHeight="1">
      <c r="B3" s="3" t="n"/>
      <c r="C3" s="3" t="n"/>
      <c r="D3" s="3" t="n"/>
      <c r="E3" s="3" t="n"/>
      <c r="F3" s="3" t="n"/>
      <c r="G3" s="3" t="n"/>
      <c r="H3" s="3" t="n"/>
      <c r="I3" s="3" t="n"/>
      <c r="J3" s="3" t="n"/>
      <c r="K3" s="3" t="n"/>
      <c r="L3" s="3" t="n"/>
      <c r="M3" s="3" t="n"/>
      <c r="N3" s="3" t="n"/>
      <c r="O3" s="3" t="n"/>
    </row>
    <row r="5" ht="17" customHeight="1">
      <c r="B5" s="10" t="inlineStr">
        <is>
          <t>A.  CURRENT MARKET CONDITIONS, NORTH AMERICA PRIMARY MARKETS</t>
        </is>
      </c>
      <c r="C5" s="10" t="n"/>
      <c r="D5" s="10" t="n"/>
      <c r="E5" s="10" t="n"/>
      <c r="F5" s="10" t="n"/>
      <c r="G5" s="10" t="n"/>
      <c r="H5" s="10" t="n"/>
      <c r="I5" s="10" t="n"/>
      <c r="J5" s="10" t="n"/>
      <c r="K5" s="10" t="n"/>
      <c r="L5" s="10" t="n"/>
      <c r="M5" s="10" t="n"/>
      <c r="N5" s="10" t="n"/>
      <c r="O5" s="10" t="n"/>
    </row>
    <row r="6" ht="28" customHeight="1">
      <c r="B6" s="11" t="inlineStr">
        <is>
          <t>Metric</t>
        </is>
      </c>
      <c r="C6" s="11" t="inlineStr">
        <is>
          <t>Unit</t>
        </is>
      </c>
      <c r="D6" s="11" t="inlineStr">
        <is>
          <t>H1 2026</t>
        </is>
      </c>
      <c r="E6" s="11" t="inlineStr">
        <is>
          <t>H1 2025</t>
        </is>
      </c>
      <c r="F6" s="11" t="inlineStr">
        <is>
          <t>Change</t>
        </is>
      </c>
      <c r="G6" s="11" t="inlineStr"/>
      <c r="H6" s="11" t="inlineStr">
        <is>
          <t>Read through</t>
        </is>
      </c>
      <c r="I6" s="11" t="inlineStr"/>
      <c r="J6" s="11" t="inlineStr"/>
      <c r="K6" s="11" t="inlineStr"/>
      <c r="L6" s="11" t="inlineStr"/>
      <c r="M6" s="11" t="inlineStr"/>
      <c r="N6" s="11" t="inlineStr"/>
      <c r="O6" s="11" t="inlineStr"/>
    </row>
    <row r="7">
      <c r="B7" s="12" t="inlineStr">
        <is>
          <t>Primary market inventory</t>
        </is>
      </c>
      <c r="C7" s="14" t="inlineStr">
        <is>
          <t>MW</t>
        </is>
      </c>
      <c r="D7" s="34" t="n">
        <v>10903</v>
      </c>
      <c r="E7" s="34" t="n">
        <v>8155</v>
      </c>
      <c r="F7" s="35">
        <f>D7/E7-1</f>
        <v/>
      </c>
      <c r="G7" s="15" t="n"/>
      <c r="H7" s="36" t="inlineStr">
        <is>
          <t>Record inventory, yet the market tightened rather than loosened.</t>
        </is>
      </c>
      <c r="I7" s="15" t="n"/>
      <c r="J7" s="15" t="n"/>
      <c r="K7" s="15" t="n"/>
      <c r="L7" s="15" t="n"/>
      <c r="M7" s="15" t="n"/>
      <c r="N7" s="15" t="n"/>
      <c r="O7" s="15" t="n"/>
    </row>
    <row r="8">
      <c r="B8" s="17" t="inlineStr">
        <is>
          <t>Capacity under construction</t>
        </is>
      </c>
      <c r="C8" s="19" t="inlineStr">
        <is>
          <t>MW</t>
        </is>
      </c>
      <c r="D8" s="37" t="n">
        <v>7481</v>
      </c>
      <c r="E8" s="37" t="n">
        <v>5994</v>
      </c>
      <c r="F8" s="38">
        <f>D8/E8-1</f>
        <v/>
      </c>
      <c r="H8" s="39" t="inlineStr">
        <is>
          <t>Equivalent to 69% of the entire standing inventory.</t>
        </is>
      </c>
    </row>
    <row r="9">
      <c r="B9" s="12" t="inlineStr">
        <is>
          <t>Vacancy rate</t>
        </is>
      </c>
      <c r="C9" s="14" t="inlineStr">
        <is>
          <t>%</t>
        </is>
      </c>
      <c r="D9" s="40" t="n">
        <v>0.014</v>
      </c>
      <c r="E9" s="40" t="n">
        <v>0.016</v>
      </c>
      <c r="F9" s="41">
        <f>(D9-E9)*10000</f>
        <v/>
      </c>
      <c r="G9" s="15" t="n"/>
      <c r="H9" s="36" t="inlineStr">
        <is>
          <t>A record low. A balanced market carries roughly 8% frictional vacancy.</t>
        </is>
      </c>
      <c r="I9" s="15" t="n"/>
      <c r="J9" s="15" t="n"/>
      <c r="K9" s="15" t="n"/>
      <c r="L9" s="15" t="n"/>
      <c r="M9" s="15" t="n"/>
      <c r="N9" s="15" t="n"/>
      <c r="O9" s="15" t="n"/>
    </row>
    <row r="10">
      <c r="B10" s="17" t="inlineStr">
        <is>
          <t>Preleased share of capacity under construction</t>
        </is>
      </c>
      <c r="C10" s="19" t="inlineStr">
        <is>
          <t>%</t>
        </is>
      </c>
      <c r="D10" s="42" t="n">
        <v>0.804</v>
      </c>
      <c r="E10" s="42" t="n">
        <v>0.743</v>
      </c>
      <c r="F10" s="43">
        <f>(D10-E10)*10000</f>
        <v/>
      </c>
      <c r="H10" s="39" t="inlineStr">
        <is>
          <t>Historical norm is 40% to 50%. Capacity is spoken for before it is poured.</t>
        </is>
      </c>
    </row>
    <row r="11">
      <c r="B11" s="12" t="inlineStr">
        <is>
          <t>Net absorption</t>
        </is>
      </c>
      <c r="C11" s="14" t="inlineStr">
        <is>
          <t>MW</t>
        </is>
      </c>
      <c r="D11" s="34" t="n">
        <v>1456</v>
      </c>
      <c r="E11" s="34" t="n">
        <v>1304</v>
      </c>
      <c r="F11" s="35">
        <f>D11/E11-1</f>
        <v/>
      </c>
      <c r="G11" s="15" t="n"/>
      <c r="H11" s="36" t="inlineStr">
        <is>
          <t>Absorption is constrained by delivery, not by demand.</t>
        </is>
      </c>
      <c r="I11" s="15" t="n"/>
      <c r="J11" s="15" t="n"/>
      <c r="K11" s="15" t="n"/>
      <c r="L11" s="15" t="n"/>
      <c r="M11" s="15" t="n"/>
      <c r="N11" s="15" t="n"/>
      <c r="O11" s="15" t="n"/>
    </row>
    <row r="12">
      <c r="B12" s="17" t="inlineStr">
        <is>
          <t>Northern Virginia inventory</t>
        </is>
      </c>
      <c r="C12" s="19" t="inlineStr">
        <is>
          <t>MW</t>
        </is>
      </c>
      <c r="D12" s="37" t="n">
        <v>4497</v>
      </c>
      <c r="E12" s="37" t="n">
        <v>3497</v>
      </c>
      <c r="F12" s="38">
        <f>D12/E12-1</f>
        <v/>
      </c>
      <c r="H12" s="39" t="inlineStr">
        <is>
          <t>The largest single market added more than 1 GW in twelve months.</t>
        </is>
      </c>
    </row>
    <row r="13">
      <c r="B13" s="12" t="inlineStr">
        <is>
          <t>Northern Virginia vacancy</t>
        </is>
      </c>
      <c r="C13" s="14" t="inlineStr">
        <is>
          <t>%</t>
        </is>
      </c>
      <c r="D13" s="40" t="n">
        <v>0.002</v>
      </c>
      <c r="E13" s="40" t="n">
        <v>0.007</v>
      </c>
      <c r="F13" s="41">
        <f>(D13-E13)*10000</f>
        <v/>
      </c>
      <c r="G13" s="15" t="n"/>
      <c r="H13" s="36" t="inlineStr">
        <is>
          <t>Effectively zero availability in the deepest market in the world.</t>
        </is>
      </c>
      <c r="I13" s="15" t="n"/>
      <c r="J13" s="15" t="n"/>
      <c r="K13" s="15" t="n"/>
      <c r="L13" s="15" t="n"/>
      <c r="M13" s="15" t="n"/>
      <c r="N13" s="15" t="n"/>
      <c r="O13" s="15" t="n"/>
    </row>
    <row r="14">
      <c r="B14" s="17" t="inlineStr">
        <is>
          <t>Asking rate growth, blocks above 10 MW</t>
        </is>
      </c>
      <c r="C14" s="19" t="inlineStr">
        <is>
          <t>%</t>
        </is>
      </c>
      <c r="D14" s="42" t="n">
        <v>0.067</v>
      </c>
      <c r="E14" s="19" t="inlineStr">
        <is>
          <t>n.a.</t>
        </is>
      </c>
      <c r="F14" s="19" t="inlineStr">
        <is>
          <t>n.a.</t>
        </is>
      </c>
      <c r="H14" s="39" t="inlineStr">
        <is>
          <t>Pricing power sits with the landlord across every block size.</t>
        </is>
      </c>
    </row>
    <row r="15">
      <c r="B15" s="12" t="inlineStr">
        <is>
          <t>Asking rate growth, blocks of 3 MW to 10 MW</t>
        </is>
      </c>
      <c r="C15" s="14" t="inlineStr">
        <is>
          <t>%</t>
        </is>
      </c>
      <c r="D15" s="40" t="n">
        <v>0.083</v>
      </c>
      <c r="E15" s="14" t="inlineStr">
        <is>
          <t>n.a.</t>
        </is>
      </c>
      <c r="F15" s="14" t="inlineStr">
        <is>
          <t>n.a.</t>
        </is>
      </c>
      <c r="G15" s="15" t="n"/>
      <c r="H15" s="36" t="inlineStr">
        <is>
          <t>The steepest increase of any size cohort.</t>
        </is>
      </c>
      <c r="I15" s="15" t="n"/>
      <c r="J15" s="15" t="n"/>
      <c r="K15" s="15" t="n"/>
      <c r="L15" s="15" t="n"/>
      <c r="M15" s="15" t="n"/>
      <c r="N15" s="15" t="n"/>
      <c r="O15" s="15" t="n"/>
    </row>
    <row r="17">
      <c r="B17" s="23" t="inlineStr">
        <is>
          <t>Source: CBRE, North America Data Center Trends H1 2026. Northern Virginia H1 2025 inventory is derived from the reported year over year addition of more than 1 GW.</t>
        </is>
      </c>
    </row>
    <row r="19" ht="17" customHeight="1">
      <c r="B19" s="10" t="inlineStr">
        <is>
          <t>B.  SUPPLY: US INSTALLED DATA CENTER CAPACITY (GW OF IT LOAD)</t>
        </is>
      </c>
      <c r="C19" s="10" t="n"/>
      <c r="D19" s="10" t="n"/>
      <c r="E19" s="10" t="n"/>
      <c r="F19" s="10" t="n"/>
      <c r="G19" s="10" t="n"/>
      <c r="H19" s="10" t="n"/>
      <c r="I19" s="10" t="n"/>
      <c r="J19" s="10" t="n"/>
      <c r="K19" s="10" t="n"/>
      <c r="L19" s="10" t="n"/>
      <c r="M19" s="10" t="n"/>
      <c r="N19" s="10" t="n"/>
      <c r="O19" s="10" t="n"/>
    </row>
    <row r="20" ht="28" customHeight="1">
      <c r="B20" s="11" t="inlineStr">
        <is>
          <t>Line item</t>
        </is>
      </c>
      <c r="C20" s="11" t="inlineStr">
        <is>
          <t>Unit</t>
        </is>
      </c>
      <c r="D20" s="11" t="inlineStr">
        <is>
          <t>2024</t>
        </is>
      </c>
      <c r="E20" s="11" t="inlineStr">
        <is>
          <t>2025</t>
        </is>
      </c>
      <c r="F20" s="11" t="inlineStr">
        <is>
          <t>2026</t>
        </is>
      </c>
      <c r="G20" s="11" t="inlineStr">
        <is>
          <t>2027</t>
        </is>
      </c>
      <c r="H20" s="11" t="inlineStr">
        <is>
          <t>2028</t>
        </is>
      </c>
      <c r="I20" s="11" t="inlineStr">
        <is>
          <t>2029</t>
        </is>
      </c>
      <c r="J20" s="11" t="inlineStr">
        <is>
          <t>2030</t>
        </is>
      </c>
      <c r="K20" s="11" t="inlineStr">
        <is>
          <t>2031</t>
        </is>
      </c>
      <c r="L20" s="11" t="inlineStr">
        <is>
          <t>2032</t>
        </is>
      </c>
      <c r="M20" s="11" t="inlineStr">
        <is>
          <t>2033</t>
        </is>
      </c>
      <c r="N20" s="11" t="inlineStr">
        <is>
          <t>2034</t>
        </is>
      </c>
      <c r="O20" s="11" t="inlineStr">
        <is>
          <t>2035</t>
        </is>
      </c>
    </row>
    <row r="21">
      <c r="B21" s="12" t="inlineStr">
        <is>
          <t>Installed capacity, US total</t>
        </is>
      </c>
      <c r="C21" s="14" t="inlineStr">
        <is>
          <t>GW</t>
        </is>
      </c>
      <c r="D21" s="44" t="n">
        <v>42</v>
      </c>
      <c r="E21" s="44" t="n">
        <v>50</v>
      </c>
      <c r="F21" s="44" t="n">
        <v>60</v>
      </c>
      <c r="G21" s="45">
        <f>F21*(1+$F$22)</f>
        <v/>
      </c>
      <c r="H21" s="45">
        <f>G21*(1+$F$22)</f>
        <v/>
      </c>
      <c r="I21" s="45">
        <f>H21*(1+$F$22)</f>
        <v/>
      </c>
      <c r="J21" s="44">
        <f>J23</f>
        <v/>
      </c>
      <c r="K21" s="45">
        <f>J21*(1+$J$22)</f>
        <v/>
      </c>
      <c r="L21" s="45">
        <f>K21*(1+$J$22)</f>
        <v/>
      </c>
      <c r="M21" s="45">
        <f>L21*(1+$J$22)</f>
        <v/>
      </c>
      <c r="N21" s="45">
        <f>M21*(1+$J$22)</f>
        <v/>
      </c>
      <c r="O21" s="44">
        <f>O23</f>
        <v/>
      </c>
    </row>
    <row r="22">
      <c r="B22" s="17" t="inlineStr">
        <is>
          <t>Interpolation CAGR to next anchor</t>
        </is>
      </c>
      <c r="C22" s="19" t="inlineStr">
        <is>
          <t>%</t>
        </is>
      </c>
      <c r="F22" s="38">
        <f>(J23/F21)^(1/4)-1</f>
        <v/>
      </c>
      <c r="J22" s="38">
        <f>(O23/J21)^(1/5)-1</f>
        <v/>
      </c>
    </row>
    <row r="23">
      <c r="B23" s="46" t="inlineStr">
        <is>
          <t>Anchor points</t>
        </is>
      </c>
      <c r="C23" s="19" t="inlineStr">
        <is>
          <t>GW</t>
        </is>
      </c>
      <c r="J23" s="47" t="n">
        <v>118</v>
      </c>
      <c r="O23" s="47" t="n">
        <v>194</v>
      </c>
    </row>
    <row r="24">
      <c r="B24" s="12" t="inlineStr">
        <is>
          <t>Annual net additions, deliverable supply</t>
        </is>
      </c>
      <c r="C24" s="14" t="inlineStr">
        <is>
          <t>GW</t>
        </is>
      </c>
      <c r="D24" s="14" t="inlineStr">
        <is>
          <t>n.a.</t>
        </is>
      </c>
      <c r="E24" s="45">
        <f>E21-D21</f>
        <v/>
      </c>
      <c r="F24" s="45">
        <f>F21-E21</f>
        <v/>
      </c>
      <c r="G24" s="45">
        <f>G21-F21</f>
        <v/>
      </c>
      <c r="H24" s="45">
        <f>H21-G21</f>
        <v/>
      </c>
      <c r="I24" s="45">
        <f>I21-H21</f>
        <v/>
      </c>
      <c r="J24" s="45">
        <f>J21-I21</f>
        <v/>
      </c>
      <c r="K24" s="45">
        <f>K21-J21</f>
        <v/>
      </c>
      <c r="L24" s="45">
        <f>L21-K21</f>
        <v/>
      </c>
      <c r="M24" s="45">
        <f>M21-L21</f>
        <v/>
      </c>
      <c r="N24" s="45">
        <f>N21-M21</f>
        <v/>
      </c>
      <c r="O24" s="45">
        <f>O21-N21</f>
        <v/>
      </c>
    </row>
    <row r="25">
      <c r="B25" s="17" t="inlineStr">
        <is>
          <t>Year over year growth</t>
        </is>
      </c>
      <c r="C25" s="19" t="inlineStr">
        <is>
          <t>%</t>
        </is>
      </c>
      <c r="D25" s="19" t="inlineStr">
        <is>
          <t>n.a.</t>
        </is>
      </c>
      <c r="E25" s="38">
        <f>E21/D21-1</f>
        <v/>
      </c>
      <c r="F25" s="38">
        <f>F21/E21-1</f>
        <v/>
      </c>
      <c r="G25" s="38">
        <f>G21/F21-1</f>
        <v/>
      </c>
      <c r="H25" s="38">
        <f>H21/G21-1</f>
        <v/>
      </c>
      <c r="I25" s="38">
        <f>I21/H21-1</f>
        <v/>
      </c>
      <c r="J25" s="38">
        <f>J21/I21-1</f>
        <v/>
      </c>
      <c r="K25" s="38">
        <f>K21/J21-1</f>
        <v/>
      </c>
      <c r="L25" s="38">
        <f>L21/K21-1</f>
        <v/>
      </c>
      <c r="M25" s="38">
        <f>M21/L21-1</f>
        <v/>
      </c>
      <c r="N25" s="38">
        <f>N21/M21-1</f>
        <v/>
      </c>
      <c r="O25" s="38">
        <f>O21/N21-1</f>
        <v/>
      </c>
    </row>
    <row r="27">
      <c r="B27" s="23" t="inlineStr">
        <is>
          <t>Source: BloombergNEF US Data Center Capacity Outlook, July 2026, which forecasts 118 GW of installed US capacity by 2030, a 52% upward revision versus its December 2025 forecast, and 194 GW by 2035. Those two points are the anchors. Years 2024 through 2026 are estimated from EPRI Powering Intelligence 2026 consumption data. Intervening years are interpolated at a constant growth rate.</t>
        </is>
      </c>
    </row>
    <row r="29" ht="17" customHeight="1">
      <c r="B29" s="10" t="inlineStr">
        <is>
          <t>C.  DEMAND: CAPITAL COMMITTED TO AI INFRASTRUCTURE, CONVERTED TO GW</t>
        </is>
      </c>
      <c r="C29" s="10" t="n"/>
      <c r="D29" s="10" t="n"/>
      <c r="E29" s="10" t="n"/>
      <c r="F29" s="10" t="n"/>
      <c r="G29" s="10" t="n"/>
      <c r="H29" s="10" t="n"/>
      <c r="I29" s="10" t="n"/>
      <c r="J29" s="10" t="n"/>
      <c r="K29" s="10" t="n"/>
      <c r="L29" s="10" t="n"/>
      <c r="M29" s="10" t="n"/>
      <c r="N29" s="10" t="n"/>
      <c r="O29" s="10" t="n"/>
    </row>
    <row r="30" ht="28" customHeight="1">
      <c r="B30" s="11" t="inlineStr">
        <is>
          <t>Line item</t>
        </is>
      </c>
      <c r="C30" s="11" t="inlineStr">
        <is>
          <t>Unit</t>
        </is>
      </c>
      <c r="D30" s="11" t="inlineStr">
        <is>
          <t>2024</t>
        </is>
      </c>
      <c r="E30" s="11" t="inlineStr">
        <is>
          <t>2025</t>
        </is>
      </c>
      <c r="F30" s="11" t="inlineStr">
        <is>
          <t>2026</t>
        </is>
      </c>
      <c r="G30" s="11" t="inlineStr">
        <is>
          <t>2027</t>
        </is>
      </c>
      <c r="H30" s="11" t="inlineStr">
        <is>
          <t>2028</t>
        </is>
      </c>
      <c r="I30" s="11" t="inlineStr">
        <is>
          <t>2029</t>
        </is>
      </c>
      <c r="J30" s="11" t="inlineStr">
        <is>
          <t>2030</t>
        </is>
      </c>
      <c r="K30" s="11" t="inlineStr">
        <is>
          <t>2031</t>
        </is>
      </c>
      <c r="L30" s="11" t="inlineStr">
        <is>
          <t>2032</t>
        </is>
      </c>
      <c r="M30" s="11" t="inlineStr">
        <is>
          <t>2033</t>
        </is>
      </c>
      <c r="N30" s="11" t="inlineStr">
        <is>
          <t>2034</t>
        </is>
      </c>
      <c r="O30" s="11" t="inlineStr">
        <is>
          <t>2035</t>
        </is>
      </c>
    </row>
    <row r="31">
      <c r="B31" s="17" t="inlineStr">
        <is>
          <t>Hyperscaler capital expenditure, four largest</t>
        </is>
      </c>
      <c r="C31" s="19" t="inlineStr">
        <is>
          <t>$B</t>
        </is>
      </c>
      <c r="D31" s="48" t="n">
        <v>228</v>
      </c>
      <c r="E31" s="48" t="n">
        <v>388</v>
      </c>
      <c r="F31" s="48" t="n">
        <v>630</v>
      </c>
      <c r="G31" s="49">
        <f>F31*(1+G32)</f>
        <v/>
      </c>
      <c r="H31" s="49">
        <f>G31*(1+H32)</f>
        <v/>
      </c>
      <c r="I31" s="49">
        <f>H31*(1+I32)</f>
        <v/>
      </c>
      <c r="J31" s="49">
        <f>I31*(1+J32)</f>
        <v/>
      </c>
      <c r="K31" s="49">
        <f>J31*(1+K32)</f>
        <v/>
      </c>
      <c r="L31" s="49">
        <f>K31*(1+L32)</f>
        <v/>
      </c>
      <c r="M31" s="49">
        <f>L31*(1+M32)</f>
        <v/>
      </c>
      <c r="N31" s="49">
        <f>M31*(1+N32)</f>
        <v/>
      </c>
      <c r="O31" s="49">
        <f>N31*(1+O32)</f>
        <v/>
      </c>
    </row>
    <row r="32">
      <c r="B32" s="12" t="inlineStr">
        <is>
          <t>Growth rate applied</t>
        </is>
      </c>
      <c r="C32" s="14" t="inlineStr">
        <is>
          <t>%</t>
        </is>
      </c>
      <c r="D32" s="15" t="n"/>
      <c r="E32" s="15" t="n"/>
      <c r="F32" s="15" t="n"/>
      <c r="G32" s="40" t="n">
        <v>0.25</v>
      </c>
      <c r="H32" s="40" t="n">
        <v>0.18</v>
      </c>
      <c r="I32" s="40" t="n">
        <v>0.12</v>
      </c>
      <c r="J32" s="40" t="n">
        <v>0.08</v>
      </c>
      <c r="K32" s="40" t="n">
        <v>0.06</v>
      </c>
      <c r="L32" s="40" t="n">
        <v>0.05</v>
      </c>
      <c r="M32" s="40" t="n">
        <v>0.05</v>
      </c>
      <c r="N32" s="40" t="n">
        <v>0.04</v>
      </c>
      <c r="O32" s="40" t="n">
        <v>0.04</v>
      </c>
    </row>
    <row r="33">
      <c r="B33" s="17" t="inlineStr">
        <is>
          <t>Other AI infrastructure capital, percentage uplift</t>
        </is>
      </c>
      <c r="C33" s="19" t="inlineStr">
        <is>
          <t>%</t>
        </is>
      </c>
      <c r="D33" s="42" t="n">
        <v>0.4</v>
      </c>
      <c r="E33" s="42" t="n">
        <v>0.4</v>
      </c>
      <c r="F33" s="42" t="n">
        <v>0.4</v>
      </c>
      <c r="G33" s="42" t="n">
        <v>0.4</v>
      </c>
      <c r="H33" s="42" t="n">
        <v>0.4</v>
      </c>
      <c r="I33" s="42" t="n">
        <v>0.4</v>
      </c>
      <c r="J33" s="42" t="n">
        <v>0.4</v>
      </c>
      <c r="K33" s="42" t="n">
        <v>0.4</v>
      </c>
      <c r="L33" s="42" t="n">
        <v>0.4</v>
      </c>
      <c r="M33" s="42" t="n">
        <v>0.4</v>
      </c>
      <c r="N33" s="42" t="n">
        <v>0.4</v>
      </c>
      <c r="O33" s="42" t="n">
        <v>0.4</v>
      </c>
    </row>
    <row r="34">
      <c r="B34" s="12" t="inlineStr">
        <is>
          <t>Total AI infrastructure capital</t>
        </is>
      </c>
      <c r="C34" s="14" t="inlineStr">
        <is>
          <t>$B</t>
        </is>
      </c>
      <c r="D34" s="50">
        <f>D31*(1+D33)</f>
        <v/>
      </c>
      <c r="E34" s="50">
        <f>E31*(1+E33)</f>
        <v/>
      </c>
      <c r="F34" s="50">
        <f>F31*(1+F33)</f>
        <v/>
      </c>
      <c r="G34" s="50">
        <f>G31*(1+G33)</f>
        <v/>
      </c>
      <c r="H34" s="50">
        <f>H31*(1+H33)</f>
        <v/>
      </c>
      <c r="I34" s="50">
        <f>I31*(1+I33)</f>
        <v/>
      </c>
      <c r="J34" s="50">
        <f>J31*(1+J33)</f>
        <v/>
      </c>
      <c r="K34" s="50">
        <f>K31*(1+K33)</f>
        <v/>
      </c>
      <c r="L34" s="50">
        <f>L31*(1+L33)</f>
        <v/>
      </c>
      <c r="M34" s="50">
        <f>M31*(1+M33)</f>
        <v/>
      </c>
      <c r="N34" s="50">
        <f>N31*(1+N33)</f>
        <v/>
      </c>
      <c r="O34" s="50">
        <f>O31*(1+O33)</f>
        <v/>
      </c>
    </row>
    <row r="35">
      <c r="B35" s="17" t="inlineStr">
        <is>
          <t>Data center infrastructure share of capital</t>
        </is>
      </c>
      <c r="C35" s="19" t="inlineStr">
        <is>
          <t>%</t>
        </is>
      </c>
      <c r="D35" s="42" t="n">
        <v>0.275</v>
      </c>
      <c r="E35" s="42" t="n">
        <v>0.275</v>
      </c>
      <c r="F35" s="42" t="n">
        <v>0.275</v>
      </c>
      <c r="G35" s="42" t="n">
        <v>0.275</v>
      </c>
      <c r="H35" s="42" t="n">
        <v>0.275</v>
      </c>
      <c r="I35" s="42" t="n">
        <v>0.275</v>
      </c>
      <c r="J35" s="42" t="n">
        <v>0.275</v>
      </c>
      <c r="K35" s="42" t="n">
        <v>0.275</v>
      </c>
      <c r="L35" s="42" t="n">
        <v>0.275</v>
      </c>
      <c r="M35" s="42" t="n">
        <v>0.275</v>
      </c>
      <c r="N35" s="42" t="n">
        <v>0.275</v>
      </c>
      <c r="O35" s="42" t="n">
        <v>0.275</v>
      </c>
    </row>
    <row r="36">
      <c r="B36" s="12" t="inlineStr">
        <is>
          <t>Infrastructure capital available to deploy</t>
        </is>
      </c>
      <c r="C36" s="14" t="inlineStr">
        <is>
          <t>$B</t>
        </is>
      </c>
      <c r="D36" s="50">
        <f>D34*D35</f>
        <v/>
      </c>
      <c r="E36" s="50">
        <f>E34*E35</f>
        <v/>
      </c>
      <c r="F36" s="50">
        <f>F34*F35</f>
        <v/>
      </c>
      <c r="G36" s="50">
        <f>G34*G35</f>
        <v/>
      </c>
      <c r="H36" s="50">
        <f>H34*H35</f>
        <v/>
      </c>
      <c r="I36" s="50">
        <f>I34*I35</f>
        <v/>
      </c>
      <c r="J36" s="50">
        <f>J34*J35</f>
        <v/>
      </c>
      <c r="K36" s="50">
        <f>K34*K35</f>
        <v/>
      </c>
      <c r="L36" s="50">
        <f>L34*L35</f>
        <v/>
      </c>
      <c r="M36" s="50">
        <f>M34*M35</f>
        <v/>
      </c>
      <c r="N36" s="50">
        <f>N34*N35</f>
        <v/>
      </c>
      <c r="O36" s="50">
        <f>O34*O35</f>
        <v/>
      </c>
    </row>
    <row r="37">
      <c r="B37" s="17" t="inlineStr">
        <is>
          <t>Implied capacity demanded</t>
        </is>
      </c>
      <c r="C37" s="19" t="inlineStr">
        <is>
          <t>GW</t>
        </is>
      </c>
      <c r="D37" s="19" t="inlineStr">
        <is>
          <t>n.a.</t>
        </is>
      </c>
      <c r="E37" s="19" t="inlineStr">
        <is>
          <t>n.a.</t>
        </is>
      </c>
      <c r="F37" s="51">
        <f>F36/Cost_Per_MW_Base</f>
        <v/>
      </c>
      <c r="G37" s="51">
        <f>G36/Cost_Per_MW_Base</f>
        <v/>
      </c>
      <c r="H37" s="51">
        <f>H36/Cost_Per_MW_Base</f>
        <v/>
      </c>
      <c r="I37" s="51">
        <f>I36/Cost_Per_MW_Base</f>
        <v/>
      </c>
      <c r="J37" s="51">
        <f>J36/Cost_Per_MW_Base</f>
        <v/>
      </c>
      <c r="K37" s="51">
        <f>K36/Cost_Per_MW_Base</f>
        <v/>
      </c>
      <c r="L37" s="51">
        <f>L36/Cost_Per_MW_Base</f>
        <v/>
      </c>
      <c r="M37" s="51">
        <f>M36/Cost_Per_MW_Base</f>
        <v/>
      </c>
      <c r="N37" s="51">
        <f>N36/Cost_Per_MW_Base</f>
        <v/>
      </c>
      <c r="O37" s="51">
        <f>O36/Cost_Per_MW_Base</f>
        <v/>
      </c>
    </row>
    <row r="39">
      <c r="B39" s="23" t="inlineStr">
        <is>
          <t>Sources: reported and guided 2026 capital expenditure for Amazon, Alphabet, Microsoft and Meta of approximately $630B in aggregate, versus $388B in 2025. The uplift captures OpenAI and the Stargate program, xAI, Anthropic, Oracle, the neocloud operators, sovereign programs and enterprise. The infrastructure share strips out GPUs, servers, networking and storage, which are funded by the offtaker. Implied capacity converts dollars into megawatts at the base case cost per MW from the Buildout Costs tab, shown in blue as a cross sheet link.</t>
        </is>
      </c>
    </row>
    <row r="40">
      <c r="B40" s="23" t="inlineStr">
        <is>
          <t>The conversion is applied from 2026 forward. Applying it to 2024 and 2025 understates demand in those years, because a smaller share of hyperscaler capital was directed at accelerated computing and the cost per MW of that era was materially below today's liquid cooled standard. Those two years are shown as not applicable.</t>
        </is>
      </c>
    </row>
    <row r="42" ht="17" customHeight="1">
      <c r="B42" s="10" t="inlineStr">
        <is>
          <t>D.  SUPPLY AND DEMAND BALANCE</t>
        </is>
      </c>
      <c r="C42" s="10" t="n"/>
      <c r="D42" s="10" t="n"/>
      <c r="E42" s="10" t="n"/>
      <c r="F42" s="10" t="n"/>
      <c r="G42" s="10" t="n"/>
      <c r="H42" s="10" t="n"/>
      <c r="I42" s="10" t="n"/>
      <c r="J42" s="10" t="n"/>
      <c r="K42" s="10" t="n"/>
      <c r="L42" s="10" t="n"/>
      <c r="M42" s="10" t="n"/>
      <c r="N42" s="10" t="n"/>
      <c r="O42" s="10" t="n"/>
    </row>
    <row r="43" ht="28" customHeight="1">
      <c r="B43" s="11" t="inlineStr">
        <is>
          <t>Line item</t>
        </is>
      </c>
      <c r="C43" s="11" t="inlineStr">
        <is>
          <t>Unit</t>
        </is>
      </c>
      <c r="D43" s="11" t="inlineStr">
        <is>
          <t>2024</t>
        </is>
      </c>
      <c r="E43" s="11" t="inlineStr">
        <is>
          <t>2025</t>
        </is>
      </c>
      <c r="F43" s="11" t="inlineStr">
        <is>
          <t>2026</t>
        </is>
      </c>
      <c r="G43" s="11" t="inlineStr">
        <is>
          <t>2027</t>
        </is>
      </c>
      <c r="H43" s="11" t="inlineStr">
        <is>
          <t>2028</t>
        </is>
      </c>
      <c r="I43" s="11" t="inlineStr">
        <is>
          <t>2029</t>
        </is>
      </c>
      <c r="J43" s="11" t="inlineStr">
        <is>
          <t>2030</t>
        </is>
      </c>
      <c r="K43" s="11" t="inlineStr">
        <is>
          <t>2031</t>
        </is>
      </c>
      <c r="L43" s="11" t="inlineStr">
        <is>
          <t>2032</t>
        </is>
      </c>
      <c r="M43" s="11" t="inlineStr">
        <is>
          <t>2033</t>
        </is>
      </c>
      <c r="N43" s="11" t="inlineStr">
        <is>
          <t>2034</t>
        </is>
      </c>
      <c r="O43" s="11" t="inlineStr">
        <is>
          <t>2035</t>
        </is>
      </c>
    </row>
    <row r="44">
      <c r="B44" s="17" t="inlineStr">
        <is>
          <t>Capacity demanded</t>
        </is>
      </c>
      <c r="C44" s="19" t="inlineStr">
        <is>
          <t>GW</t>
        </is>
      </c>
      <c r="D44" s="19" t="inlineStr">
        <is>
          <t>n.a.</t>
        </is>
      </c>
      <c r="E44" s="19" t="inlineStr">
        <is>
          <t>n.a.</t>
        </is>
      </c>
      <c r="F44" s="52">
        <f>F37</f>
        <v/>
      </c>
      <c r="G44" s="52">
        <f>G37</f>
        <v/>
      </c>
      <c r="H44" s="52">
        <f>H37</f>
        <v/>
      </c>
      <c r="I44" s="52">
        <f>I37</f>
        <v/>
      </c>
      <c r="J44" s="52">
        <f>J37</f>
        <v/>
      </c>
      <c r="K44" s="52">
        <f>K37</f>
        <v/>
      </c>
      <c r="L44" s="52">
        <f>L37</f>
        <v/>
      </c>
      <c r="M44" s="52">
        <f>M37</f>
        <v/>
      </c>
      <c r="N44" s="52">
        <f>N37</f>
        <v/>
      </c>
      <c r="O44" s="52">
        <f>O37</f>
        <v/>
      </c>
    </row>
    <row r="45">
      <c r="B45" s="12" t="inlineStr">
        <is>
          <t>Less: deliverable supply</t>
        </is>
      </c>
      <c r="C45" s="14" t="inlineStr">
        <is>
          <t>GW</t>
        </is>
      </c>
      <c r="D45" s="14" t="inlineStr">
        <is>
          <t>n.a.</t>
        </is>
      </c>
      <c r="E45" s="14" t="inlineStr">
        <is>
          <t>n.a.</t>
        </is>
      </c>
      <c r="F45" s="45">
        <f>-F24</f>
        <v/>
      </c>
      <c r="G45" s="45">
        <f>-G24</f>
        <v/>
      </c>
      <c r="H45" s="45">
        <f>-H24</f>
        <v/>
      </c>
      <c r="I45" s="45">
        <f>-I24</f>
        <v/>
      </c>
      <c r="J45" s="45">
        <f>-J24</f>
        <v/>
      </c>
      <c r="K45" s="45">
        <f>-K24</f>
        <v/>
      </c>
      <c r="L45" s="45">
        <f>-L24</f>
        <v/>
      </c>
      <c r="M45" s="45">
        <f>-M24</f>
        <v/>
      </c>
      <c r="N45" s="45">
        <f>-N24</f>
        <v/>
      </c>
      <c r="O45" s="45">
        <f>-O24</f>
        <v/>
      </c>
    </row>
    <row r="46">
      <c r="B46" s="53" t="inlineStr">
        <is>
          <t>Annual shortfall</t>
        </is>
      </c>
      <c r="C46" s="54" t="inlineStr">
        <is>
          <t>GW</t>
        </is>
      </c>
      <c r="D46" s="54" t="inlineStr">
        <is>
          <t>n.a.</t>
        </is>
      </c>
      <c r="E46" s="54" t="inlineStr">
        <is>
          <t>n.a.</t>
        </is>
      </c>
      <c r="F46" s="55">
        <f>SUM(F44:F45)</f>
        <v/>
      </c>
      <c r="G46" s="55">
        <f>SUM(G44:G45)</f>
        <v/>
      </c>
      <c r="H46" s="55">
        <f>SUM(H44:H45)</f>
        <v/>
      </c>
      <c r="I46" s="55">
        <f>SUM(I44:I45)</f>
        <v/>
      </c>
      <c r="J46" s="55">
        <f>SUM(J44:J45)</f>
        <v/>
      </c>
      <c r="K46" s="55">
        <f>SUM(K44:K45)</f>
        <v/>
      </c>
      <c r="L46" s="55">
        <f>SUM(L44:L45)</f>
        <v/>
      </c>
      <c r="M46" s="55">
        <f>SUM(M44:M45)</f>
        <v/>
      </c>
      <c r="N46" s="55">
        <f>SUM(N44:N45)</f>
        <v/>
      </c>
      <c r="O46" s="55">
        <f>SUM(O44:O45)</f>
        <v/>
      </c>
    </row>
    <row r="47">
      <c r="B47" s="12" t="inlineStr">
        <is>
          <t>Cumulative shortfall since 2026</t>
        </is>
      </c>
      <c r="C47" s="14" t="inlineStr">
        <is>
          <t>GW</t>
        </is>
      </c>
      <c r="D47" s="14" t="inlineStr">
        <is>
          <t>n.a.</t>
        </is>
      </c>
      <c r="E47" s="14" t="inlineStr">
        <is>
          <t>n.a.</t>
        </is>
      </c>
      <c r="F47" s="45">
        <f>F46</f>
        <v/>
      </c>
      <c r="G47" s="45">
        <f>F47+G46</f>
        <v/>
      </c>
      <c r="H47" s="45">
        <f>G47+H46</f>
        <v/>
      </c>
      <c r="I47" s="45">
        <f>H47+I46</f>
        <v/>
      </c>
      <c r="J47" s="45">
        <f>I47+J46</f>
        <v/>
      </c>
      <c r="K47" s="45">
        <f>J47+K46</f>
        <v/>
      </c>
      <c r="L47" s="45">
        <f>K47+L46</f>
        <v/>
      </c>
      <c r="M47" s="45">
        <f>L47+M46</f>
        <v/>
      </c>
      <c r="N47" s="45">
        <f>M47+N46</f>
        <v/>
      </c>
      <c r="O47" s="45">
        <f>N47+O46</f>
        <v/>
      </c>
    </row>
    <row r="49">
      <c r="B49" s="23" t="inlineStr">
        <is>
          <t>The shortfall is a demand signal rather than a count of unbuilt megawatts. Capital that cannot find a delivered megawatt expresses itself as the conditions in Section A: vacancy of 1.4%, preleasing of 80.4% and asking rate growth of 6.7% to 8.3%. It also expresses itself as escalating land and powered site pricing and as offtakers signing leases three to four years ahead of delivery.</t>
        </is>
      </c>
    </row>
    <row r="51" ht="17" customHeight="1">
      <c r="B51" s="10" t="inlineStr">
        <is>
          <t>E.  POSITIONING OF A 5.0 GW PROGRAM</t>
        </is>
      </c>
      <c r="C51" s="10" t="n"/>
      <c r="D51" s="10" t="n"/>
      <c r="E51" s="10" t="n"/>
      <c r="F51" s="10" t="n"/>
      <c r="G51" s="10" t="n"/>
      <c r="H51" s="10" t="n"/>
      <c r="I51" s="10" t="n"/>
      <c r="J51" s="10" t="n"/>
      <c r="K51" s="10" t="n"/>
      <c r="L51" s="10" t="n"/>
      <c r="M51" s="10" t="n"/>
      <c r="N51" s="10" t="n"/>
      <c r="O51" s="10" t="n"/>
    </row>
    <row r="52" ht="28" customHeight="1">
      <c r="B52" s="11" t="inlineStr">
        <is>
          <t>Measure</t>
        </is>
      </c>
      <c r="C52" s="11" t="inlineStr">
        <is>
          <t>Unit</t>
        </is>
      </c>
      <c r="D52" s="11" t="inlineStr">
        <is>
          <t>Value</t>
        </is>
      </c>
      <c r="E52" s="11" t="inlineStr"/>
      <c r="F52" s="11" t="inlineStr">
        <is>
          <t>Interpretation</t>
        </is>
      </c>
      <c r="G52" s="11" t="inlineStr"/>
      <c r="H52" s="11" t="inlineStr"/>
      <c r="I52" s="11" t="inlineStr"/>
      <c r="J52" s="11" t="inlineStr"/>
      <c r="K52" s="11" t="inlineStr"/>
      <c r="L52" s="11" t="inlineStr"/>
      <c r="M52" s="11" t="inlineStr"/>
      <c r="N52" s="11" t="inlineStr"/>
      <c r="O52" s="11" t="inlineStr"/>
    </row>
    <row r="53">
      <c r="B53" s="12" t="inlineStr">
        <is>
          <t>Program capacity</t>
        </is>
      </c>
      <c r="C53" s="14" t="inlineStr">
        <is>
          <t>GW</t>
        </is>
      </c>
      <c r="D53" s="45">
        <f>Program_Capacity_GW</f>
        <v/>
      </c>
      <c r="E53" s="15" t="n"/>
      <c r="F53" s="36" t="inlineStr">
        <is>
          <t>Delivered across eight phases between 2027 and 2034.</t>
        </is>
      </c>
      <c r="G53" s="15" t="n"/>
      <c r="H53" s="15" t="n"/>
      <c r="I53" s="15" t="n"/>
      <c r="J53" s="15" t="n"/>
      <c r="K53" s="15" t="n"/>
      <c r="L53" s="15" t="n"/>
      <c r="M53" s="15" t="n"/>
      <c r="N53" s="15" t="n"/>
      <c r="O53" s="15" t="n"/>
    </row>
    <row r="54">
      <c r="B54" s="17" t="inlineStr">
        <is>
          <t>US installed capacity forecast, 2030</t>
        </is>
      </c>
      <c r="C54" s="19" t="inlineStr">
        <is>
          <t>GW</t>
        </is>
      </c>
      <c r="D54" s="52">
        <f>J21</f>
        <v/>
      </c>
      <c r="F54" s="39" t="inlineStr">
        <is>
          <t>BloombergNEF July 2026 forecast.</t>
        </is>
      </c>
    </row>
    <row r="55">
      <c r="B55" s="12" t="inlineStr">
        <is>
          <t>Program as a share of the 2030 installed base</t>
        </is>
      </c>
      <c r="C55" s="14" t="inlineStr">
        <is>
          <t>%</t>
        </is>
      </c>
      <c r="D55" s="56">
        <f>Program_Capacity_GW/J21</f>
        <v/>
      </c>
      <c r="E55" s="15" t="n"/>
      <c r="F55" s="36" t="inlineStr">
        <is>
          <t>A meaningful but absorbable share of national capacity.</t>
        </is>
      </c>
      <c r="G55" s="15" t="n"/>
      <c r="H55" s="15" t="n"/>
      <c r="I55" s="15" t="n"/>
      <c r="J55" s="15" t="n"/>
      <c r="K55" s="15" t="n"/>
      <c r="L55" s="15" t="n"/>
      <c r="M55" s="15" t="n"/>
      <c r="N55" s="15" t="n"/>
      <c r="O55" s="15" t="n"/>
    </row>
    <row r="56">
      <c r="B56" s="17" t="inlineStr">
        <is>
          <t>Cumulative US additions, 2026 through 2030</t>
        </is>
      </c>
      <c r="C56" s="19" t="inlineStr">
        <is>
          <t>GW</t>
        </is>
      </c>
      <c r="D56" s="52">
        <f>J21-E21</f>
        <v/>
      </c>
      <c r="F56" s="39" t="inlineStr">
        <is>
          <t>Net new capacity delivered over the five year window.</t>
        </is>
      </c>
    </row>
    <row r="57">
      <c r="B57" s="12" t="inlineStr">
        <is>
          <t>Program as a share of 2026 to 2030 additions</t>
        </is>
      </c>
      <c r="C57" s="14" t="inlineStr">
        <is>
          <t>%</t>
        </is>
      </c>
      <c r="D57" s="56">
        <f>Program_Capacity_GW/(J21-E21)</f>
        <v/>
      </c>
      <c r="E57" s="15" t="n"/>
      <c r="F57" s="36" t="inlineStr">
        <is>
          <t>Roughly one megawatt in twelve of everything the country delivers.</t>
        </is>
      </c>
      <c r="G57" s="15" t="n"/>
      <c r="H57" s="15" t="n"/>
      <c r="I57" s="15" t="n"/>
      <c r="J57" s="15" t="n"/>
      <c r="K57" s="15" t="n"/>
      <c r="L57" s="15" t="n"/>
      <c r="M57" s="15" t="n"/>
      <c r="N57" s="15" t="n"/>
      <c r="O57" s="15" t="n"/>
    </row>
    <row r="58">
      <c r="B58" s="17" t="inlineStr">
        <is>
          <t>Cumulative shortfall, 2026 through 2030</t>
        </is>
      </c>
      <c r="C58" s="19" t="inlineStr">
        <is>
          <t>GW</t>
        </is>
      </c>
      <c r="D58" s="52">
        <f>J47</f>
        <v/>
      </c>
      <c r="F58" s="39" t="inlineStr">
        <is>
          <t>Demand backed by committed capital that supply cannot serve.</t>
        </is>
      </c>
    </row>
    <row r="59">
      <c r="B59" s="12" t="inlineStr">
        <is>
          <t>Program as a share of the cumulative shortfall</t>
        </is>
      </c>
      <c r="C59" s="14" t="inlineStr">
        <is>
          <t>%</t>
        </is>
      </c>
      <c r="D59" s="56">
        <f>Program_Capacity_GW/J47</f>
        <v/>
      </c>
      <c r="E59" s="15" t="n"/>
      <c r="F59" s="36" t="inlineStr">
        <is>
          <t>The program absorbs a minority of the gap and does not close it.</t>
        </is>
      </c>
      <c r="G59" s="15" t="n"/>
      <c r="H59" s="15" t="n"/>
      <c r="I59" s="15" t="n"/>
      <c r="J59" s="15" t="n"/>
      <c r="K59" s="15" t="n"/>
      <c r="L59" s="15" t="n"/>
      <c r="M59" s="15" t="n"/>
      <c r="N59" s="15" t="n"/>
      <c r="O59" s="15" t="n"/>
    </row>
    <row r="61">
      <c r="B61" s="23" t="inlineStr">
        <is>
          <t>Shaded cells are the three framing statistics: the program is large enough to matter to an investor and small enough that it does not depend on capturing an implausible share of the national build.</t>
        </is>
      </c>
    </row>
  </sheetData>
  <pageMargins left="0.75" right="0.75" top="1" bottom="1" header="0.5" footer="0.5"/>
  <pageSetup orientation="landscape" fitToHeight="0" fitToWidth="1"/>
  <headerFooter>
    <oddHeader/>
    <oddFooter>&amp;L&amp;6 &amp;K9AA0A8CONFIDENTIAL   |   FOR DISCUSSION PURPOSES ONLY   |   NOT AN OFFER TO SELL OR A SOLICITATION OF AN OFFER TO BUY SECURITIES&amp;R&amp;6 &amp;K9AA0A8Page &amp;P of &amp;N</oddFooter>
    <evenHeader/>
    <evenFooter/>
    <firstHeader/>
    <firstFooter/>
  </headerFooter>
</worksheet>
</file>

<file path=xl/worksheets/sheet4.xml><?xml version="1.0" encoding="utf-8"?>
<worksheet xmlns="http://schemas.openxmlformats.org/spreadsheetml/2006/main">
  <sheetPr>
    <tabColor rgb="000F2F51"/>
    <outlinePr summaryBelow="1" summaryRight="1"/>
    <pageSetUpPr fitToPage="1"/>
  </sheetPr>
  <dimension ref="B2:M70"/>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44" customWidth="1" min="2" max="2"/>
    <col width="34"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2" ht="20" customHeight="1">
      <c r="B2" s="9" t="inlineStr">
        <is>
          <t>BUILDOUT COSTS: 5.0 GW DEVELOPMENT PROGRAM (1 OF 1)</t>
        </is>
      </c>
      <c r="C2" s="9" t="n"/>
      <c r="D2" s="9" t="n"/>
      <c r="E2" s="9" t="n"/>
      <c r="F2" s="9" t="n"/>
      <c r="G2" s="9" t="n"/>
      <c r="H2" s="9" t="n"/>
      <c r="I2" s="9" t="n"/>
      <c r="J2" s="9" t="n"/>
      <c r="K2" s="9" t="n"/>
      <c r="L2" s="9" t="n"/>
      <c r="M2" s="9" t="n"/>
    </row>
    <row r="3" ht="4" customHeight="1">
      <c r="B3" s="3" t="n"/>
      <c r="C3" s="3" t="n"/>
      <c r="D3" s="3" t="n"/>
      <c r="E3" s="3" t="n"/>
      <c r="F3" s="3" t="n"/>
      <c r="G3" s="3" t="n"/>
      <c r="H3" s="3" t="n"/>
      <c r="I3" s="3" t="n"/>
      <c r="J3" s="3" t="n"/>
      <c r="K3" s="3" t="n"/>
      <c r="L3" s="3" t="n"/>
      <c r="M3" s="3" t="n"/>
    </row>
    <row r="5" ht="17" customHeight="1">
      <c r="B5" s="10" t="inlineStr">
        <is>
          <t>A.  PROGRAM ASSUMPTIONS</t>
        </is>
      </c>
      <c r="C5" s="10" t="n"/>
      <c r="D5" s="10" t="n"/>
      <c r="E5" s="10" t="n"/>
      <c r="F5" s="10" t="n"/>
      <c r="G5" s="10" t="n"/>
      <c r="H5" s="10" t="n"/>
      <c r="I5" s="10" t="n"/>
      <c r="J5" s="10" t="n"/>
      <c r="K5" s="10" t="n"/>
      <c r="L5" s="10" t="n"/>
      <c r="M5" s="10" t="n"/>
    </row>
    <row r="6" ht="28" customHeight="1">
      <c r="B6" s="57" t="inlineStr">
        <is>
          <t>Assumption</t>
        </is>
      </c>
      <c r="C6" s="57" t="inlineStr">
        <is>
          <t>Basis</t>
        </is>
      </c>
      <c r="D6" s="11" t="inlineStr">
        <is>
          <t>Value</t>
        </is>
      </c>
      <c r="E6" s="11" t="inlineStr">
        <is>
          <t>Unit</t>
        </is>
      </c>
      <c r="F6" s="11" t="inlineStr"/>
      <c r="G6" s="11" t="inlineStr"/>
      <c r="H6" s="11" t="inlineStr"/>
      <c r="I6" s="11" t="inlineStr"/>
      <c r="J6" s="11" t="inlineStr"/>
      <c r="K6" s="11" t="inlineStr"/>
      <c r="L6" s="11" t="inlineStr"/>
      <c r="M6" s="11" t="inlineStr"/>
    </row>
    <row r="7">
      <c r="B7" s="12" t="inlineStr">
        <is>
          <t>Program capacity, critical IT load</t>
        </is>
      </c>
      <c r="C7" s="58" t="inlineStr">
        <is>
          <t>Total energized MW at full buildout</t>
        </is>
      </c>
      <c r="D7" s="44" t="n">
        <v>5</v>
      </c>
      <c r="E7" s="14" t="inlineStr">
        <is>
          <t>GW</t>
        </is>
      </c>
      <c r="F7" s="15" t="n"/>
      <c r="G7" s="15" t="n"/>
      <c r="H7" s="15" t="n"/>
      <c r="I7" s="15" t="n"/>
      <c r="J7" s="15" t="n"/>
      <c r="K7" s="15" t="n"/>
      <c r="L7" s="15" t="n"/>
      <c r="M7" s="15" t="n"/>
    </row>
    <row r="8">
      <c r="B8" s="17" t="inlineStr">
        <is>
          <t>Contingency, low case</t>
        </is>
      </c>
      <c r="C8" s="59" t="inlineStr">
        <is>
          <t>Applied to hard and soft cost subtotal</t>
        </is>
      </c>
      <c r="D8" s="42" t="n">
        <v>0.06</v>
      </c>
      <c r="E8" s="19" t="inlineStr">
        <is>
          <t>%</t>
        </is>
      </c>
    </row>
    <row r="9">
      <c r="B9" s="12" t="inlineStr">
        <is>
          <t>Contingency, base case</t>
        </is>
      </c>
      <c r="C9" s="58" t="inlineStr">
        <is>
          <t>Applied to hard and soft cost subtotal</t>
        </is>
      </c>
      <c r="D9" s="40" t="n">
        <v>0.075</v>
      </c>
      <c r="E9" s="14" t="inlineStr">
        <is>
          <t>%</t>
        </is>
      </c>
      <c r="F9" s="15" t="n"/>
      <c r="G9" s="15" t="n"/>
      <c r="H9" s="15" t="n"/>
      <c r="I9" s="15" t="n"/>
      <c r="J9" s="15" t="n"/>
      <c r="K9" s="15" t="n"/>
      <c r="L9" s="15" t="n"/>
      <c r="M9" s="15" t="n"/>
    </row>
    <row r="10">
      <c r="B10" s="17" t="inlineStr">
        <is>
          <t>Contingency, high case</t>
        </is>
      </c>
      <c r="C10" s="59" t="inlineStr">
        <is>
          <t>Applied to hard and soft cost subtotal</t>
        </is>
      </c>
      <c r="D10" s="42" t="n">
        <v>0.1</v>
      </c>
      <c r="E10" s="19" t="inlineStr">
        <is>
          <t>%</t>
        </is>
      </c>
    </row>
    <row r="11">
      <c r="B11" s="12" t="inlineStr">
        <is>
          <t>Stabilized lease rate</t>
        </is>
      </c>
      <c r="C11" s="58" t="inlineStr">
        <is>
          <t>Triple net, large block, per kW of critical load per month</t>
        </is>
      </c>
      <c r="D11" s="60" t="n">
        <v>165</v>
      </c>
      <c r="E11" s="14" t="inlineStr">
        <is>
          <t>$/kW/mo</t>
        </is>
      </c>
      <c r="F11" s="15" t="n"/>
      <c r="G11" s="15" t="n"/>
      <c r="H11" s="15" t="n"/>
      <c r="I11" s="15" t="n"/>
      <c r="J11" s="15" t="n"/>
      <c r="K11" s="15" t="n"/>
      <c r="L11" s="15" t="n"/>
      <c r="M11" s="15" t="n"/>
    </row>
    <row r="12">
      <c r="B12" s="17" t="inlineStr">
        <is>
          <t>Unrecovered opex and downtime leakage</t>
        </is>
      </c>
      <c r="C12" s="59" t="inlineStr">
        <is>
          <t>Deduction from gross rent to reach NOI</t>
        </is>
      </c>
      <c r="D12" s="42" t="n">
        <v>0.03</v>
      </c>
      <c r="E12" s="19" t="inlineStr">
        <is>
          <t>%</t>
        </is>
      </c>
    </row>
    <row r="13">
      <c r="B13" s="12" t="inlineStr">
        <is>
          <t>Exit capitalization rate</t>
        </is>
      </c>
      <c r="C13" s="58" t="inlineStr">
        <is>
          <t>Stabilized, contracted, investment grade offtake</t>
        </is>
      </c>
      <c r="D13" s="40" t="n">
        <v>0.06</v>
      </c>
      <c r="E13" s="14" t="inlineStr">
        <is>
          <t>%</t>
        </is>
      </c>
      <c r="F13" s="15" t="n"/>
      <c r="G13" s="15" t="n"/>
      <c r="H13" s="15" t="n"/>
      <c r="I13" s="15" t="n"/>
      <c r="J13" s="15" t="n"/>
      <c r="K13" s="15" t="n"/>
      <c r="L13" s="15" t="n"/>
      <c r="M13" s="15" t="n"/>
    </row>
    <row r="14">
      <c r="B14" s="17" t="inlineStr">
        <is>
          <t>IT equipment capital, offtaker funded</t>
        </is>
      </c>
      <c r="C14" s="59" t="inlineStr">
        <is>
          <t>GPUs, servers, networking and storage per MW</t>
        </is>
      </c>
      <c r="D14" s="61" t="n">
        <v>27.5</v>
      </c>
      <c r="E14" s="19" t="inlineStr">
        <is>
          <t>$M/MW</t>
        </is>
      </c>
    </row>
    <row r="16">
      <c r="B16" s="23" t="inlineStr">
        <is>
          <t>Source: lease rate and exit cap rate are management assumptions benchmarked to CBRE North America Data Center Trends H1 2026 pricing for blocks above 10 MW. All green cells are inputs.</t>
        </is>
      </c>
    </row>
    <row r="18" ht="17" customHeight="1">
      <c r="B18" s="10" t="inlineStr">
        <is>
          <t>B.  DEVELOPMENT COST STACK PER MW OF CRITICAL IT LOAD ($M)</t>
        </is>
      </c>
      <c r="C18" s="10" t="n"/>
      <c r="D18" s="10" t="n"/>
      <c r="E18" s="10" t="n"/>
      <c r="F18" s="10" t="n"/>
      <c r="G18" s="10" t="n"/>
      <c r="H18" s="10" t="n"/>
      <c r="I18" s="10" t="n"/>
      <c r="J18" s="10" t="n"/>
      <c r="K18" s="10" t="n"/>
      <c r="L18" s="10" t="n"/>
      <c r="M18" s="10" t="n"/>
    </row>
    <row r="19" ht="28" customHeight="1">
      <c r="B19" s="11" t="inlineStr">
        <is>
          <t>Cost component</t>
        </is>
      </c>
      <c r="C19" s="11" t="inlineStr">
        <is>
          <t>Scope and principal cost driver</t>
        </is>
      </c>
      <c r="D19" s="11" t="inlineStr">
        <is>
          <t>Low</t>
        </is>
      </c>
      <c r="E19" s="11" t="inlineStr">
        <is>
          <t>Base</t>
        </is>
      </c>
      <c r="F19" s="11" t="inlineStr">
        <is>
          <t>High</t>
        </is>
      </c>
      <c r="G19" s="11" t="inlineStr">
        <is>
          <t>Base %</t>
        </is>
      </c>
      <c r="H19" s="11" t="inlineStr"/>
      <c r="I19" s="11" t="inlineStr"/>
      <c r="J19" s="11" t="inlineStr"/>
      <c r="K19" s="11" t="inlineStr"/>
      <c r="L19" s="11" t="inlineStr"/>
      <c r="M19" s="11" t="inlineStr"/>
    </row>
    <row r="20">
      <c r="B20" s="12" t="inlineStr">
        <is>
          <t>Land and site acquisition</t>
        </is>
      </c>
      <c r="C20" s="58" t="inlineStr">
        <is>
          <t>Fee simple acreage, water rights, diligence and title</t>
        </is>
      </c>
      <c r="D20" s="62" t="n">
        <v>0.15</v>
      </c>
      <c r="E20" s="62" t="n">
        <v>0.3</v>
      </c>
      <c r="F20" s="62" t="n">
        <v>0.6</v>
      </c>
      <c r="G20" s="35">
        <f>E20/E$32</f>
        <v/>
      </c>
      <c r="H20" s="15" t="n"/>
      <c r="I20" s="15" t="n"/>
      <c r="J20" s="15" t="n"/>
      <c r="K20" s="15" t="n"/>
      <c r="L20" s="15" t="n"/>
      <c r="M20" s="15" t="n"/>
    </row>
    <row r="21">
      <c r="B21" s="17" t="inlineStr">
        <is>
          <t>Site development and civil works</t>
        </is>
      </c>
      <c r="C21" s="59" t="inlineStr">
        <is>
          <t>Grading, roads, stormwater, water and fiber laterals</t>
        </is>
      </c>
      <c r="D21" s="63" t="n">
        <v>0.35</v>
      </c>
      <c r="E21" s="63" t="n">
        <v>0.55</v>
      </c>
      <c r="F21" s="63" t="n">
        <v>0.85</v>
      </c>
      <c r="G21" s="38">
        <f>E21/E$32</f>
        <v/>
      </c>
    </row>
    <row r="22">
      <c r="B22" s="12" t="inlineStr">
        <is>
          <t>Utility interconnection and substation</t>
        </is>
      </c>
      <c r="C22" s="58" t="inlineStr">
        <is>
          <t>Transmission tap, GSU transformers, HV switchyard, upgrades</t>
        </is>
      </c>
      <c r="D22" s="62" t="n">
        <v>1.1</v>
      </c>
      <c r="E22" s="62" t="n">
        <v>1.95</v>
      </c>
      <c r="F22" s="62" t="n">
        <v>3</v>
      </c>
      <c r="G22" s="35">
        <f>E22/E$32</f>
        <v/>
      </c>
      <c r="H22" s="15" t="n"/>
      <c r="I22" s="15" t="n"/>
      <c r="J22" s="15" t="n"/>
      <c r="K22" s="15" t="n"/>
      <c r="L22" s="15" t="n"/>
      <c r="M22" s="15" t="n"/>
    </row>
    <row r="23">
      <c r="B23" s="17" t="inlineStr">
        <is>
          <t>Onsite generation and bridge power</t>
        </is>
      </c>
      <c r="C23" s="59" t="inlineStr">
        <is>
          <t>Gas turbines or reciprocating engines, fuel yard, emissions</t>
        </is>
      </c>
      <c r="D23" s="63" t="n">
        <v>0.25</v>
      </c>
      <c r="E23" s="63" t="n">
        <v>0.85</v>
      </c>
      <c r="F23" s="63" t="n">
        <v>1.9</v>
      </c>
      <c r="G23" s="38">
        <f>E23/E$32</f>
        <v/>
      </c>
    </row>
    <row r="24">
      <c r="B24" s="12" t="inlineStr">
        <is>
          <t>Core and shell construction</t>
        </is>
      </c>
      <c r="C24" s="58" t="inlineStr">
        <is>
          <t>Foundations, structure, envelope, roof and admin areas</t>
        </is>
      </c>
      <c r="D24" s="62" t="n">
        <v>1.55</v>
      </c>
      <c r="E24" s="62" t="n">
        <v>2.05</v>
      </c>
      <c r="F24" s="62" t="n">
        <v>2.6</v>
      </c>
      <c r="G24" s="35">
        <f>E24/E$32</f>
        <v/>
      </c>
      <c r="H24" s="15" t="n"/>
      <c r="I24" s="15" t="n"/>
      <c r="J24" s="15" t="n"/>
      <c r="K24" s="15" t="n"/>
      <c r="L24" s="15" t="n"/>
      <c r="M24" s="15" t="n"/>
    </row>
    <row r="25">
      <c r="B25" s="17" t="inlineStr">
        <is>
          <t>Electrical fitout</t>
        </is>
      </c>
      <c r="C25" s="59" t="inlineStr">
        <is>
          <t>MV distribution, UPS, batteries, busway, gensets, switchgear</t>
        </is>
      </c>
      <c r="D25" s="63" t="n">
        <v>4.1</v>
      </c>
      <c r="E25" s="63" t="n">
        <v>5.2</v>
      </c>
      <c r="F25" s="63" t="n">
        <v>6.3</v>
      </c>
      <c r="G25" s="38">
        <f>E25/E$32</f>
        <v/>
      </c>
    </row>
    <row r="26">
      <c r="B26" s="12" t="inlineStr">
        <is>
          <t>Mechanical and liquid cooling</t>
        </is>
      </c>
      <c r="C26" s="58" t="inlineStr">
        <is>
          <t>CDUs, cooling distribution, chillers, heat rejection, piping</t>
        </is>
      </c>
      <c r="D26" s="62" t="n">
        <v>2.35</v>
      </c>
      <c r="E26" s="62" t="n">
        <v>3.55</v>
      </c>
      <c r="F26" s="62" t="n">
        <v>4.6</v>
      </c>
      <c r="G26" s="35">
        <f>E26/E$32</f>
        <v/>
      </c>
      <c r="H26" s="15" t="n"/>
      <c r="I26" s="15" t="n"/>
      <c r="J26" s="15" t="n"/>
      <c r="K26" s="15" t="n"/>
      <c r="L26" s="15" t="n"/>
      <c r="M26" s="15" t="n"/>
    </row>
    <row r="27">
      <c r="B27" s="17" t="inlineStr">
        <is>
          <t>Life safety, security and controls</t>
        </is>
      </c>
      <c r="C27" s="59" t="inlineStr">
        <is>
          <t>Fire detection and suppression, physical security, BMS and DCIM</t>
        </is>
      </c>
      <c r="D27" s="63" t="n">
        <v>0.4</v>
      </c>
      <c r="E27" s="63" t="n">
        <v>0.55</v>
      </c>
      <c r="F27" s="63" t="n">
        <v>0.75</v>
      </c>
      <c r="G27" s="38">
        <f>E27/E$32</f>
        <v/>
      </c>
    </row>
    <row r="28">
      <c r="B28" s="12" t="inlineStr">
        <is>
          <t>Commissioning and testing</t>
        </is>
      </c>
      <c r="C28" s="58" t="inlineStr">
        <is>
          <t>Levels 1 through 5 integrated systems testing</t>
        </is>
      </c>
      <c r="D28" s="62" t="n">
        <v>0.2</v>
      </c>
      <c r="E28" s="62" t="n">
        <v>0.3</v>
      </c>
      <c r="F28" s="62" t="n">
        <v>0.4</v>
      </c>
      <c r="G28" s="35">
        <f>E28/E$32</f>
        <v/>
      </c>
      <c r="H28" s="15" t="n"/>
      <c r="I28" s="15" t="n"/>
      <c r="J28" s="15" t="n"/>
      <c r="K28" s="15" t="n"/>
      <c r="L28" s="15" t="n"/>
      <c r="M28" s="15" t="n"/>
    </row>
    <row r="29">
      <c r="B29" s="17" t="inlineStr">
        <is>
          <t>Soft costs</t>
        </is>
      </c>
      <c r="C29" s="59" t="inlineStr">
        <is>
          <t>Design, program management, permitting, legal and insurance</t>
        </is>
      </c>
      <c r="D29" s="63" t="n">
        <v>0.75</v>
      </c>
      <c r="E29" s="63" t="n">
        <v>1.05</v>
      </c>
      <c r="F29" s="63" t="n">
        <v>1.4</v>
      </c>
      <c r="G29" s="38">
        <f>E29/E$32</f>
        <v/>
      </c>
    </row>
    <row r="30">
      <c r="B30" s="64" t="inlineStr">
        <is>
          <t>Subtotal, hard and soft costs</t>
        </is>
      </c>
      <c r="C30" s="65" t="n"/>
      <c r="D30" s="66">
        <f>SUM(D20:D29)</f>
        <v/>
      </c>
      <c r="E30" s="66">
        <f>SUM(E20:E29)</f>
        <v/>
      </c>
      <c r="F30" s="66">
        <f>SUM(F20:F29)</f>
        <v/>
      </c>
      <c r="G30" s="67">
        <f>E30/E$32</f>
        <v/>
      </c>
      <c r="H30" s="68" t="n"/>
      <c r="I30" s="68" t="n"/>
      <c r="J30" s="68" t="n"/>
      <c r="K30" s="68" t="n"/>
      <c r="L30" s="68" t="n"/>
      <c r="M30" s="68" t="n"/>
    </row>
    <row r="31">
      <c r="B31" s="17" t="inlineStr">
        <is>
          <t>Contingency</t>
        </is>
      </c>
      <c r="C31" s="59" t="inlineStr">
        <is>
          <t>Percentage of hard and soft cost subtotal</t>
        </is>
      </c>
      <c r="D31" s="69">
        <f>D30*Contingency_Low</f>
        <v/>
      </c>
      <c r="E31" s="69">
        <f>E30*Contingency_Base</f>
        <v/>
      </c>
      <c r="F31" s="69">
        <f>F30*Contingency_High</f>
        <v/>
      </c>
      <c r="G31" s="38">
        <f>E31/E$32</f>
        <v/>
      </c>
    </row>
    <row r="32" ht="18" customHeight="1">
      <c r="B32" s="70" t="inlineStr">
        <is>
          <t>TOTAL DEVELOPMENT COST PER MW</t>
        </is>
      </c>
      <c r="C32" s="1" t="n"/>
      <c r="D32" s="71">
        <f>D30+D31</f>
        <v/>
      </c>
      <c r="E32" s="71">
        <f>E30+E31</f>
        <v/>
      </c>
      <c r="F32" s="71">
        <f>F30+F31</f>
        <v/>
      </c>
      <c r="G32" s="72">
        <f>E32/E$32</f>
        <v/>
      </c>
      <c r="H32" s="1" t="n"/>
      <c r="I32" s="1" t="n"/>
      <c r="J32" s="1" t="n"/>
      <c r="K32" s="1" t="n"/>
      <c r="L32" s="1" t="n"/>
      <c r="M32" s="1" t="n"/>
    </row>
    <row r="34">
      <c r="B34" s="23" t="inlineStr">
        <is>
          <t>Source: Cushman &amp; Wakefield 2026 Data Center Development Cost Guide, which reports an average US greenfield cost of $17.6M per MW, up 21% per MW versus the prior guide. Low case reflects a powered shell conversion at air cooled densities. High case reflects a greenfield liquid cooled campus carrying dedicated onsite generation. Excludes IT equipment and capitalized interest.</t>
        </is>
      </c>
    </row>
    <row r="35">
      <c r="B35" s="23" t="inlineStr">
        <is>
          <t>Cross check: the Vantage Frontier campus in Shackelford County, Texas is a 1.4 GW, $25B program, an implied $17.9M per MW that sits within 2% of the base case above. See the Private Comps tab.</t>
        </is>
      </c>
    </row>
    <row r="37" ht="17" customHeight="1">
      <c r="B37" s="10" t="inlineStr">
        <is>
          <t>C.  PROGRAM DELIVERY SCHEDULE AND CAPITAL REQUIREMENT</t>
        </is>
      </c>
      <c r="C37" s="10" t="n"/>
      <c r="D37" s="10" t="n"/>
      <c r="E37" s="10" t="n"/>
      <c r="F37" s="10" t="n"/>
      <c r="G37" s="10" t="n"/>
      <c r="H37" s="10" t="n"/>
      <c r="I37" s="10" t="n"/>
      <c r="J37" s="10" t="n"/>
      <c r="K37" s="10" t="n"/>
      <c r="L37" s="10" t="n"/>
      <c r="M37" s="10" t="n"/>
    </row>
    <row r="38" ht="28" customHeight="1">
      <c r="B38" s="11" t="inlineStr">
        <is>
          <t>Delivery phase</t>
        </is>
      </c>
      <c r="C38" s="11" t="inlineStr">
        <is>
          <t>Milestone</t>
        </is>
      </c>
      <c r="D38" s="11" t="inlineStr">
        <is>
          <t>2027</t>
        </is>
      </c>
      <c r="E38" s="11" t="inlineStr">
        <is>
          <t>2028</t>
        </is>
      </c>
      <c r="F38" s="11" t="inlineStr">
        <is>
          <t>2029</t>
        </is>
      </c>
      <c r="G38" s="11" t="inlineStr">
        <is>
          <t>2030</t>
        </is>
      </c>
      <c r="H38" s="11" t="inlineStr">
        <is>
          <t>2031</t>
        </is>
      </c>
      <c r="I38" s="11" t="inlineStr">
        <is>
          <t>2032</t>
        </is>
      </c>
      <c r="J38" s="11" t="inlineStr">
        <is>
          <t>2033</t>
        </is>
      </c>
      <c r="K38" s="11" t="inlineStr">
        <is>
          <t>2034</t>
        </is>
      </c>
      <c r="L38" s="11" t="inlineStr">
        <is>
          <t>Total</t>
        </is>
      </c>
      <c r="M38" s="11" t="inlineStr"/>
    </row>
    <row r="39">
      <c r="B39" s="12" t="inlineStr">
        <is>
          <t>Energized capacity delivered</t>
        </is>
      </c>
      <c r="C39" s="58" t="inlineStr">
        <is>
          <t>Critical IT load placed in service (MW)</t>
        </is>
      </c>
      <c r="D39" s="34" t="n">
        <v>150</v>
      </c>
      <c r="E39" s="34" t="n">
        <v>350</v>
      </c>
      <c r="F39" s="34" t="n">
        <v>600</v>
      </c>
      <c r="G39" s="34" t="n">
        <v>800</v>
      </c>
      <c r="H39" s="34" t="n">
        <v>900</v>
      </c>
      <c r="I39" s="34" t="n">
        <v>850</v>
      </c>
      <c r="J39" s="34" t="n">
        <v>750</v>
      </c>
      <c r="K39" s="34" t="n">
        <v>600</v>
      </c>
      <c r="L39" s="73">
        <f>SUM(D39:K39)</f>
        <v/>
      </c>
      <c r="M39" s="15" t="n"/>
    </row>
    <row r="40">
      <c r="B40" s="17" t="inlineStr">
        <is>
          <t>Cumulative energized capacity</t>
        </is>
      </c>
      <c r="C40" s="59" t="inlineStr">
        <is>
          <t>MW of critical IT load</t>
        </is>
      </c>
      <c r="D40" s="74">
        <f>D39</f>
        <v/>
      </c>
      <c r="E40" s="74">
        <f>D40+E39</f>
        <v/>
      </c>
      <c r="F40" s="74">
        <f>E40+F39</f>
        <v/>
      </c>
      <c r="G40" s="74">
        <f>F40+G39</f>
        <v/>
      </c>
      <c r="H40" s="74">
        <f>G40+H39</f>
        <v/>
      </c>
      <c r="I40" s="74">
        <f>H40+I39</f>
        <v/>
      </c>
      <c r="J40" s="74">
        <f>I40+J39</f>
        <v/>
      </c>
      <c r="K40" s="74">
        <f>J40+K39</f>
        <v/>
      </c>
      <c r="L40" s="75">
        <f>K40</f>
        <v/>
      </c>
    </row>
    <row r="41">
      <c r="B41" s="12" t="inlineStr">
        <is>
          <t>Percentage of program complete</t>
        </is>
      </c>
      <c r="C41" s="58" t="inlineStr">
        <is>
          <t>Cumulative MW divided by program capacity</t>
        </is>
      </c>
      <c r="D41" s="76">
        <f>D40/(Program_Capacity_GW*1000)</f>
        <v/>
      </c>
      <c r="E41" s="76">
        <f>E40/(Program_Capacity_GW*1000)</f>
        <v/>
      </c>
      <c r="F41" s="76">
        <f>F40/(Program_Capacity_GW*1000)</f>
        <v/>
      </c>
      <c r="G41" s="76">
        <f>G40/(Program_Capacity_GW*1000)</f>
        <v/>
      </c>
      <c r="H41" s="76">
        <f>H40/(Program_Capacity_GW*1000)</f>
        <v/>
      </c>
      <c r="I41" s="76">
        <f>I40/(Program_Capacity_GW*1000)</f>
        <v/>
      </c>
      <c r="J41" s="76">
        <f>J40/(Program_Capacity_GW*1000)</f>
        <v/>
      </c>
      <c r="K41" s="76">
        <f>K40/(Program_Capacity_GW*1000)</f>
        <v/>
      </c>
      <c r="L41" s="77">
        <f>K41</f>
        <v/>
      </c>
      <c r="M41" s="15" t="n"/>
    </row>
    <row r="42">
      <c r="B42" s="17" t="inlineStr">
        <is>
          <t>Development capital, base case ($M)</t>
        </is>
      </c>
      <c r="C42" s="59" t="inlineStr">
        <is>
          <t>MW delivered multiplied by base cost per MW</t>
        </is>
      </c>
      <c r="D42" s="49">
        <f>D39*Cost_Per_MW_Base</f>
        <v/>
      </c>
      <c r="E42" s="49">
        <f>E39*Cost_Per_MW_Base</f>
        <v/>
      </c>
      <c r="F42" s="49">
        <f>F39*Cost_Per_MW_Base</f>
        <v/>
      </c>
      <c r="G42" s="49">
        <f>G39*Cost_Per_MW_Base</f>
        <v/>
      </c>
      <c r="H42" s="49">
        <f>H39*Cost_Per_MW_Base</f>
        <v/>
      </c>
      <c r="I42" s="49">
        <f>I39*Cost_Per_MW_Base</f>
        <v/>
      </c>
      <c r="J42" s="49">
        <f>J39*Cost_Per_MW_Base</f>
        <v/>
      </c>
      <c r="K42" s="49">
        <f>K39*Cost_Per_MW_Base</f>
        <v/>
      </c>
      <c r="L42" s="78">
        <f>SUM(D42:K42)</f>
        <v/>
      </c>
    </row>
    <row r="43">
      <c r="B43" s="12" t="inlineStr">
        <is>
          <t>IT equipment capital, offtaker funded ($M)</t>
        </is>
      </c>
      <c r="C43" s="58" t="inlineStr">
        <is>
          <t>Memo item, not a program funding requirement</t>
        </is>
      </c>
      <c r="D43" s="50">
        <f>D39*IT_Capital_Per_MW</f>
        <v/>
      </c>
      <c r="E43" s="50">
        <f>E39*IT_Capital_Per_MW</f>
        <v/>
      </c>
      <c r="F43" s="50">
        <f>F39*IT_Capital_Per_MW</f>
        <v/>
      </c>
      <c r="G43" s="50">
        <f>G39*IT_Capital_Per_MW</f>
        <v/>
      </c>
      <c r="H43" s="50">
        <f>H39*IT_Capital_Per_MW</f>
        <v/>
      </c>
      <c r="I43" s="50">
        <f>I39*IT_Capital_Per_MW</f>
        <v/>
      </c>
      <c r="J43" s="50">
        <f>J39*IT_Capital_Per_MW</f>
        <v/>
      </c>
      <c r="K43" s="50">
        <f>K39*IT_Capital_Per_MW</f>
        <v/>
      </c>
      <c r="L43" s="79">
        <f>SUM(D43:K43)</f>
        <v/>
      </c>
      <c r="M43" s="15" t="n"/>
    </row>
    <row r="44" ht="18" customHeight="1">
      <c r="B44" s="70" t="inlineStr">
        <is>
          <t>TOTAL ECOSYSTEM CAPITAL ($M)</t>
        </is>
      </c>
      <c r="C44" s="80" t="n"/>
      <c r="D44" s="81">
        <f>D42+D43</f>
        <v/>
      </c>
      <c r="E44" s="81">
        <f>E42+E43</f>
        <v/>
      </c>
      <c r="F44" s="81">
        <f>F42+F43</f>
        <v/>
      </c>
      <c r="G44" s="81">
        <f>G42+G43</f>
        <v/>
      </c>
      <c r="H44" s="81">
        <f>H42+H43</f>
        <v/>
      </c>
      <c r="I44" s="81">
        <f>I42+I43</f>
        <v/>
      </c>
      <c r="J44" s="81">
        <f>J42+J43</f>
        <v/>
      </c>
      <c r="K44" s="81">
        <f>K42+K43</f>
        <v/>
      </c>
      <c r="L44" s="81">
        <f>L42+L43</f>
        <v/>
      </c>
      <c r="M44" s="80" t="n"/>
    </row>
    <row r="46">
      <c r="B46" s="23" t="inlineStr">
        <is>
          <t>Capital is presented on an energized megawatt basis. Actual cash draw leads energization by 18 to 24 months, driven by long lead electrical equipment deposits. Power transformers carry average lead times of 128 weeks and generator step up units 144 weeks, so procurement commitments precede notice to proceed on the building itself.</t>
        </is>
      </c>
    </row>
    <row r="48" ht="17" customHeight="1">
      <c r="B48" s="10" t="inlineStr">
        <is>
          <t>D.  STABILIZED ECONOMICS AND DEVELOPMENT SPREAD</t>
        </is>
      </c>
      <c r="C48" s="10" t="n"/>
      <c r="D48" s="10" t="n"/>
      <c r="E48" s="10" t="n"/>
      <c r="F48" s="10" t="n"/>
      <c r="G48" s="10" t="n"/>
      <c r="H48" s="10" t="n"/>
      <c r="I48" s="10" t="n"/>
      <c r="J48" s="10" t="n"/>
      <c r="K48" s="10" t="n"/>
      <c r="L48" s="10" t="n"/>
      <c r="M48" s="10" t="n"/>
    </row>
    <row r="49" ht="28" customHeight="1">
      <c r="B49" s="11" t="inlineStr">
        <is>
          <t>Metric</t>
        </is>
      </c>
      <c r="C49" s="11" t="inlineStr">
        <is>
          <t>Derivation</t>
        </is>
      </c>
      <c r="D49" s="11" t="inlineStr">
        <is>
          <t>Low</t>
        </is>
      </c>
      <c r="E49" s="11" t="inlineStr">
        <is>
          <t>Base</t>
        </is>
      </c>
      <c r="F49" s="11" t="inlineStr">
        <is>
          <t>High</t>
        </is>
      </c>
      <c r="G49" s="11" t="inlineStr"/>
      <c r="H49" s="11" t="inlineStr"/>
      <c r="I49" s="11" t="inlineStr"/>
      <c r="J49" s="11" t="inlineStr"/>
      <c r="K49" s="11" t="inlineStr"/>
      <c r="L49" s="11" t="inlineStr"/>
      <c r="M49" s="11" t="inlineStr"/>
    </row>
    <row r="50">
      <c r="B50" s="12" t="inlineStr">
        <is>
          <t>Development cost per MW ($M)</t>
        </is>
      </c>
      <c r="C50" s="58" t="inlineStr">
        <is>
          <t>From the cost stack above</t>
        </is>
      </c>
      <c r="D50" s="82">
        <f>Cost_Per_MW_Low</f>
        <v/>
      </c>
      <c r="E50" s="82">
        <f>Cost_Per_MW_Base</f>
        <v/>
      </c>
      <c r="F50" s="82">
        <f>Cost_Per_MW_High</f>
        <v/>
      </c>
      <c r="G50" s="15" t="n"/>
      <c r="H50" s="15" t="n"/>
      <c r="I50" s="15" t="n"/>
      <c r="J50" s="15" t="n"/>
      <c r="K50" s="15" t="n"/>
      <c r="L50" s="15" t="n"/>
      <c r="M50" s="15" t="n"/>
    </row>
    <row r="51">
      <c r="B51" s="17" t="inlineStr">
        <is>
          <t>Gross annual rent per MW ($M)</t>
        </is>
      </c>
      <c r="C51" s="59" t="inlineStr">
        <is>
          <t>Lease rate multiplied by 1,000 kW multiplied by 12 months</t>
        </is>
      </c>
      <c r="D51" s="69">
        <f>Lease_Rate_kW_Mo*1000*12/1000000</f>
        <v/>
      </c>
      <c r="E51" s="69">
        <f>Lease_Rate_kW_Mo*1000*12/1000000</f>
        <v/>
      </c>
      <c r="F51" s="69">
        <f>Lease_Rate_kW_Mo*1000*12/1000000</f>
        <v/>
      </c>
    </row>
    <row r="52">
      <c r="B52" s="12" t="inlineStr">
        <is>
          <t>Less: unrecovered opex and leakage ($M)</t>
        </is>
      </c>
      <c r="C52" s="58" t="inlineStr">
        <is>
          <t>Leakage percentage applied to gross rent</t>
        </is>
      </c>
      <c r="D52" s="83">
        <f>-D51*Opex_Leakage</f>
        <v/>
      </c>
      <c r="E52" s="83">
        <f>-E51*Opex_Leakage</f>
        <v/>
      </c>
      <c r="F52" s="83">
        <f>-F51*Opex_Leakage</f>
        <v/>
      </c>
      <c r="G52" s="15" t="n"/>
      <c r="H52" s="15" t="n"/>
      <c r="I52" s="15" t="n"/>
      <c r="J52" s="15" t="n"/>
      <c r="K52" s="15" t="n"/>
      <c r="L52" s="15" t="n"/>
      <c r="M52" s="15" t="n"/>
    </row>
    <row r="53">
      <c r="B53" s="17" t="inlineStr">
        <is>
          <t>Stabilized NOI per MW ($M)</t>
        </is>
      </c>
      <c r="C53" s="59" t="inlineStr">
        <is>
          <t>Gross rent less leakage</t>
        </is>
      </c>
      <c r="D53" s="84">
        <f>SUM(D51:D52)</f>
        <v/>
      </c>
      <c r="E53" s="84">
        <f>SUM(E51:E52)</f>
        <v/>
      </c>
      <c r="F53" s="84">
        <f>SUM(F51:F52)</f>
        <v/>
      </c>
    </row>
    <row r="54">
      <c r="B54" s="12" t="inlineStr">
        <is>
          <t>Yield on cost (%)</t>
        </is>
      </c>
      <c r="C54" s="58" t="inlineStr">
        <is>
          <t>Stabilized NOI divided by development cost</t>
        </is>
      </c>
      <c r="D54" s="85">
        <f>D53/D50</f>
        <v/>
      </c>
      <c r="E54" s="85">
        <f>E53/E50</f>
        <v/>
      </c>
      <c r="F54" s="85">
        <f>F53/F50</f>
        <v/>
      </c>
      <c r="G54" s="15" t="n"/>
      <c r="H54" s="15" t="n"/>
      <c r="I54" s="15" t="n"/>
      <c r="J54" s="15" t="n"/>
      <c r="K54" s="15" t="n"/>
      <c r="L54" s="15" t="n"/>
      <c r="M54" s="15" t="n"/>
    </row>
    <row r="55">
      <c r="B55" s="17" t="inlineStr">
        <is>
          <t>Stabilized value per MW ($M)</t>
        </is>
      </c>
      <c r="C55" s="59" t="inlineStr">
        <is>
          <t>Stabilized NOI divided by exit capitalization rate</t>
        </is>
      </c>
      <c r="D55" s="69">
        <f>D53/Exit_Cap_Rate</f>
        <v/>
      </c>
      <c r="E55" s="69">
        <f>E53/Exit_Cap_Rate</f>
        <v/>
      </c>
      <c r="F55" s="69">
        <f>F53/Exit_Cap_Rate</f>
        <v/>
      </c>
    </row>
    <row r="56">
      <c r="B56" s="12" t="inlineStr">
        <is>
          <t>Value creation per MW ($M)</t>
        </is>
      </c>
      <c r="C56" s="58" t="inlineStr">
        <is>
          <t>Stabilized value less development cost</t>
        </is>
      </c>
      <c r="D56" s="83">
        <f>D55-D50</f>
        <v/>
      </c>
      <c r="E56" s="83">
        <f>E55-E50</f>
        <v/>
      </c>
      <c r="F56" s="83">
        <f>F55-F50</f>
        <v/>
      </c>
      <c r="G56" s="15" t="n"/>
      <c r="H56" s="15" t="n"/>
      <c r="I56" s="15" t="n"/>
      <c r="J56" s="15" t="n"/>
      <c r="K56" s="15" t="n"/>
      <c r="L56" s="15" t="n"/>
      <c r="M56" s="15" t="n"/>
    </row>
    <row r="57">
      <c r="B57" s="17" t="inlineStr">
        <is>
          <t>Development spread (bps)</t>
        </is>
      </c>
      <c r="C57" s="59" t="inlineStr">
        <is>
          <t>Yield on cost less exit capitalization rate</t>
        </is>
      </c>
      <c r="D57" s="86">
        <f>(D54-Exit_Cap_Rate)*10000</f>
        <v/>
      </c>
      <c r="E57" s="86">
        <f>(E54-Exit_Cap_Rate)*10000</f>
        <v/>
      </c>
      <c r="F57" s="86">
        <f>(F54-Exit_Cap_Rate)*10000</f>
        <v/>
      </c>
    </row>
    <row r="58" ht="18" customHeight="1">
      <c r="B58" s="70" t="inlineStr">
        <is>
          <t>PROGRAM VALUE CREATION AT FULL BUILDOUT ($M)</t>
        </is>
      </c>
      <c r="C58" s="87" t="inlineStr">
        <is>
          <t>Value creation per MW multiplied by program capacity</t>
        </is>
      </c>
      <c r="D58" s="81">
        <f>D56*Program_Capacity_GW*1000</f>
        <v/>
      </c>
      <c r="E58" s="81">
        <f>E56*Program_Capacity_GW*1000</f>
        <v/>
      </c>
      <c r="F58" s="81">
        <f>F56*Program_Capacity_GW*1000</f>
        <v/>
      </c>
      <c r="G58" s="1" t="n"/>
      <c r="H58" s="1" t="n"/>
      <c r="I58" s="1" t="n"/>
      <c r="J58" s="1" t="n"/>
      <c r="K58" s="1" t="n"/>
      <c r="L58" s="1" t="n"/>
      <c r="M58" s="1" t="n"/>
    </row>
    <row r="60">
      <c r="B60" s="23" t="inlineStr">
        <is>
          <t>Value creation assumes full leaseup at the stabilized rate with no vacancy allowance and no cost escalation beyond contingency. It is a gross spread measure and is stated before capitalized interest, financing fees, developer overhead, taxes and promote. Treat it as the upper bound of the opportunity rather than an underwritten return.</t>
        </is>
      </c>
    </row>
    <row r="62" ht="17" customHeight="1">
      <c r="B62" s="10" t="inlineStr">
        <is>
          <t>E.  SENSITIVITY: YIELD ON COST BY DEVELOPMENT COST AND LEASE RATE</t>
        </is>
      </c>
      <c r="C62" s="10" t="n"/>
      <c r="D62" s="10" t="n"/>
      <c r="E62" s="10" t="n"/>
      <c r="F62" s="10" t="n"/>
      <c r="G62" s="10" t="n"/>
      <c r="H62" s="10" t="n"/>
      <c r="I62" s="10" t="n"/>
      <c r="J62" s="10" t="n"/>
      <c r="K62" s="10" t="n"/>
      <c r="L62" s="10" t="n"/>
      <c r="M62" s="10" t="n"/>
    </row>
    <row r="63">
      <c r="B63" s="88" t="inlineStr">
        <is>
          <t>Development cost per MW ($M)</t>
        </is>
      </c>
      <c r="C63" s="89" t="inlineStr">
        <is>
          <t>Stabilized lease rate ($/kW/month)</t>
        </is>
      </c>
      <c r="D63" s="90" t="n">
        <v>135</v>
      </c>
      <c r="E63" s="90" t="n">
        <v>150</v>
      </c>
      <c r="F63" s="90" t="n">
        <v>165</v>
      </c>
      <c r="G63" s="90" t="n">
        <v>180</v>
      </c>
      <c r="H63" s="90" t="n">
        <v>195</v>
      </c>
      <c r="I63" s="91" t="n"/>
      <c r="J63" s="91" t="n"/>
      <c r="K63" s="91" t="n"/>
      <c r="L63" s="91" t="n"/>
      <c r="M63" s="91" t="n"/>
    </row>
    <row r="64">
      <c r="B64" s="62" t="n">
        <v>14</v>
      </c>
      <c r="C64" s="92" t="inlineStr"/>
      <c r="D64" s="38">
        <f>(D$63*1000*12/1000000*(1-Opex_Leakage))/$B64</f>
        <v/>
      </c>
      <c r="E64" s="93">
        <f>(E$63*1000*12/1000000*(1-Opex_Leakage))/$B64</f>
        <v/>
      </c>
      <c r="F64" s="93">
        <f>(F$63*1000*12/1000000*(1-Opex_Leakage))/$B64</f>
        <v/>
      </c>
      <c r="G64" s="93">
        <f>(G$63*1000*12/1000000*(1-Opex_Leakage))/$B64</f>
        <v/>
      </c>
      <c r="H64" s="93">
        <f>(H$63*1000*12/1000000*(1-Opex_Leakage))/$B64</f>
        <v/>
      </c>
    </row>
    <row r="65">
      <c r="B65" s="62" t="n">
        <v>16</v>
      </c>
      <c r="C65" s="92" t="inlineStr"/>
      <c r="D65" s="38">
        <f>(D$63*1000*12/1000000*(1-Opex_Leakage))/$B65</f>
        <v/>
      </c>
      <c r="E65" s="38">
        <f>(E$63*1000*12/1000000*(1-Opex_Leakage))/$B65</f>
        <v/>
      </c>
      <c r="F65" s="93">
        <f>(F$63*1000*12/1000000*(1-Opex_Leakage))/$B65</f>
        <v/>
      </c>
      <c r="G65" s="93">
        <f>(G$63*1000*12/1000000*(1-Opex_Leakage))/$B65</f>
        <v/>
      </c>
      <c r="H65" s="93">
        <f>(H$63*1000*12/1000000*(1-Opex_Leakage))/$B65</f>
        <v/>
      </c>
    </row>
    <row r="66">
      <c r="B66" s="94">
        <f>Cost_Per_MW_Base</f>
        <v/>
      </c>
      <c r="C66" s="95" t="inlineStr">
        <is>
          <t>Base case</t>
        </is>
      </c>
      <c r="D66" s="96">
        <f>(D$63*1000*12/1000000*(1-Opex_Leakage))/$B66</f>
        <v/>
      </c>
      <c r="E66" s="38">
        <f>(E$63*1000*12/1000000*(1-Opex_Leakage))/$B66</f>
        <v/>
      </c>
      <c r="F66" s="97">
        <f>(F$63*1000*12/1000000*(1-Opex_Leakage))/$B66</f>
        <v/>
      </c>
      <c r="G66" s="93">
        <f>(G$63*1000*12/1000000*(1-Opex_Leakage))/$B66</f>
        <v/>
      </c>
      <c r="H66" s="93">
        <f>(H$63*1000*12/1000000*(1-Opex_Leakage))/$B66</f>
        <v/>
      </c>
    </row>
    <row r="67">
      <c r="B67" s="62" t="n">
        <v>20</v>
      </c>
      <c r="C67" s="92" t="inlineStr"/>
      <c r="D67" s="96">
        <f>(D$63*1000*12/1000000*(1-Opex_Leakage))/$B67</f>
        <v/>
      </c>
      <c r="E67" s="96">
        <f>(E$63*1000*12/1000000*(1-Opex_Leakage))/$B67</f>
        <v/>
      </c>
      <c r="F67" s="38">
        <f>(F$63*1000*12/1000000*(1-Opex_Leakage))/$B67</f>
        <v/>
      </c>
      <c r="G67" s="38">
        <f>(G$63*1000*12/1000000*(1-Opex_Leakage))/$B67</f>
        <v/>
      </c>
      <c r="H67" s="38">
        <f>(H$63*1000*12/1000000*(1-Opex_Leakage))/$B67</f>
        <v/>
      </c>
    </row>
    <row r="68">
      <c r="B68" s="62" t="n">
        <v>22</v>
      </c>
      <c r="C68" s="92" t="inlineStr"/>
      <c r="D68" s="96">
        <f>(D$63*1000*12/1000000*(1-Opex_Leakage))/$B68</f>
        <v/>
      </c>
      <c r="E68" s="96">
        <f>(E$63*1000*12/1000000*(1-Opex_Leakage))/$B68</f>
        <v/>
      </c>
      <c r="F68" s="96">
        <f>(F$63*1000*12/1000000*(1-Opex_Leakage))/$B68</f>
        <v/>
      </c>
      <c r="G68" s="38">
        <f>(G$63*1000*12/1000000*(1-Opex_Leakage))/$B68</f>
        <v/>
      </c>
      <c r="H68" s="38">
        <f>(H$63*1000*12/1000000*(1-Opex_Leakage))/$B68</f>
        <v/>
      </c>
    </row>
    <row r="70">
      <c r="B70" s="23" t="inlineStr">
        <is>
          <t>Shading: light green marks a yield on cost at or above 11.5%, light red marks a yield on cost below 9.5%. The dashed cell is the base case. Exit capitalization rate held at the input value throughout, so the development spread is the shaded yield less that rate.</t>
        </is>
      </c>
    </row>
  </sheetData>
  <pageMargins left="0.75" right="0.75" top="1" bottom="1" header="0.5" footer="0.5"/>
  <pageSetup orientation="landscape" fitToHeight="0" fitToWidth="1"/>
  <headerFooter>
    <oddHeader/>
    <oddFooter>&amp;L&amp;6 &amp;K9AA0A8CONFIDENTIAL   |   FOR DISCUSSION PURPOSES ONLY   |   NOT AN OFFER TO SELL OR A SOLICITATION OF AN OFFER TO BUY SECURITIES&amp;R&amp;6 &amp;K9AA0A8Page &amp;P of &amp;N</oddFooter>
    <evenHeader/>
    <evenFooter/>
    <firstHeader/>
    <firstFooter/>
  </headerFooter>
</worksheet>
</file>

<file path=xl/worksheets/sheet5.xml><?xml version="1.0" encoding="utf-8"?>
<worksheet xmlns="http://schemas.openxmlformats.org/spreadsheetml/2006/main">
  <sheetPr>
    <tabColor rgb="000F2F51"/>
    <outlinePr summaryBelow="1" summaryRight="1"/>
    <pageSetUpPr fitToPage="1"/>
  </sheetPr>
  <dimension ref="B2:O41"/>
  <sheetViews>
    <sheetView showGridLines="0" workbookViewId="0">
      <pane xSplit="4" ySplit="8" topLeftCell="E9"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8" customWidth="1" min="3" max="3"/>
    <col width="26"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30" customWidth="1" min="15" max="15"/>
  </cols>
  <sheetData>
    <row r="2" ht="20" customHeight="1">
      <c r="B2" s="9" t="inlineStr">
        <is>
          <t>PUBLIC COMPARABLES: LISTED DATA CENTER AND AI INFRASTRUCTURE OWNERS (1 OF 1)</t>
        </is>
      </c>
      <c r="C2" s="9" t="n"/>
      <c r="D2" s="9" t="n"/>
      <c r="E2" s="9" t="n"/>
      <c r="F2" s="9" t="n"/>
      <c r="G2" s="9" t="n"/>
      <c r="H2" s="9" t="n"/>
      <c r="I2" s="9" t="n"/>
      <c r="J2" s="9" t="n"/>
      <c r="K2" s="9" t="n"/>
      <c r="L2" s="9" t="n"/>
      <c r="M2" s="9" t="n"/>
      <c r="N2" s="9" t="n"/>
      <c r="O2" s="9" t="n"/>
    </row>
    <row r="3" ht="4" customHeight="1">
      <c r="B3" s="3" t="n"/>
      <c r="C3" s="3" t="n"/>
      <c r="D3" s="3" t="n"/>
      <c r="E3" s="3" t="n"/>
      <c r="F3" s="3" t="n"/>
      <c r="G3" s="3" t="n"/>
      <c r="H3" s="3" t="n"/>
      <c r="I3" s="3" t="n"/>
      <c r="J3" s="3" t="n"/>
      <c r="K3" s="3" t="n"/>
      <c r="L3" s="3" t="n"/>
      <c r="M3" s="3" t="n"/>
      <c r="N3" s="3" t="n"/>
      <c r="O3" s="3" t="n"/>
    </row>
    <row r="5" ht="17" customHeight="1">
      <c r="B5" s="98" t="inlineStr">
        <is>
          <t>MARKET DATA REFRESH REQUIRED: capitalization and enterprise value figures are estimates compiled from public reporting on the dates footnoted. Refresh from FactSet or Bloomberg before this page is distributed to an investor.</t>
        </is>
      </c>
      <c r="C5" s="99" t="n"/>
      <c r="D5" s="99" t="n"/>
      <c r="E5" s="99" t="n"/>
      <c r="F5" s="99" t="n"/>
      <c r="G5" s="99" t="n"/>
      <c r="H5" s="99" t="n"/>
      <c r="I5" s="99" t="n"/>
      <c r="J5" s="99" t="n"/>
      <c r="K5" s="99" t="n"/>
      <c r="L5" s="99" t="n"/>
      <c r="M5" s="99" t="n"/>
      <c r="N5" s="99" t="n"/>
      <c r="O5" s="99" t="n"/>
    </row>
    <row r="7" ht="17" customHeight="1">
      <c r="B7" s="10" t="inlineStr">
        <is>
          <t>A.  TRADING COMPARABLES</t>
        </is>
      </c>
      <c r="C7" s="10" t="n"/>
      <c r="D7" s="10" t="n"/>
      <c r="E7" s="10" t="n"/>
      <c r="F7" s="10" t="n"/>
      <c r="G7" s="10" t="n"/>
      <c r="H7" s="10" t="n"/>
      <c r="I7" s="10" t="n"/>
      <c r="J7" s="10" t="n"/>
      <c r="K7" s="10" t="n"/>
      <c r="L7" s="10" t="n"/>
      <c r="M7" s="10" t="n"/>
      <c r="N7" s="10" t="n"/>
      <c r="O7" s="10" t="n"/>
    </row>
    <row r="8" ht="28" customHeight="1">
      <c r="B8" s="11" t="inlineStr">
        <is>
          <t>Company</t>
        </is>
      </c>
      <c r="C8" s="11" t="inlineStr">
        <is>
          <t>Ticker</t>
        </is>
      </c>
      <c r="D8" s="11" t="inlineStr">
        <is>
          <t>Business model</t>
        </is>
      </c>
      <c r="E8" s="11" t="inlineStr">
        <is>
          <t>Market cap ($B)</t>
        </is>
      </c>
      <c r="F8" s="11" t="inlineStr">
        <is>
          <t>Net debt ($B)</t>
        </is>
      </c>
      <c r="G8" s="11" t="inlineStr">
        <is>
          <t>Enterprise value ($B)</t>
        </is>
      </c>
      <c r="H8" s="11" t="inlineStr">
        <is>
          <t>Operating capacity (GW)</t>
        </is>
      </c>
      <c r="I8" s="11" t="inlineStr">
        <is>
          <t>Secured capacity (GW)</t>
        </is>
      </c>
      <c r="J8" s="11" t="inlineStr">
        <is>
          <t>EV per operating MW ($M)</t>
        </is>
      </c>
      <c r="K8" s="11" t="inlineStr">
        <is>
          <t>EV per secured MW ($M)</t>
        </is>
      </c>
      <c r="L8" s="11" t="inlineStr">
        <is>
          <t>CY26E EBITDA ($B)</t>
        </is>
      </c>
      <c r="M8" s="11" t="inlineStr">
        <is>
          <t>EV / EBITDA (x)</t>
        </is>
      </c>
      <c r="N8" s="11" t="inlineStr">
        <is>
          <t>Basis and source</t>
        </is>
      </c>
      <c r="O8" s="11" t="inlineStr"/>
    </row>
    <row r="9">
      <c r="B9" s="100" t="inlineStr">
        <is>
          <t>Data center REITs</t>
        </is>
      </c>
      <c r="C9" s="3" t="n"/>
      <c r="D9" s="3" t="n"/>
      <c r="E9" s="3" t="n"/>
      <c r="F9" s="3" t="n"/>
      <c r="G9" s="3" t="n"/>
      <c r="H9" s="3" t="n"/>
      <c r="I9" s="3" t="n"/>
      <c r="J9" s="3" t="n"/>
      <c r="K9" s="3" t="n"/>
      <c r="L9" s="3" t="n"/>
      <c r="M9" s="3" t="n"/>
      <c r="N9" s="3" t="n"/>
      <c r="O9" s="3" t="n"/>
    </row>
    <row r="10" ht="34" customHeight="1">
      <c r="B10" s="12" t="inlineStr">
        <is>
          <t>Equinix</t>
        </is>
      </c>
      <c r="C10" s="101" t="inlineStr">
        <is>
          <t>EQIX</t>
        </is>
      </c>
      <c r="D10" s="58" t="inlineStr">
        <is>
          <t>Retail colocation and interconnection</t>
        </is>
      </c>
      <c r="E10" s="60" t="n">
        <v>78.8</v>
      </c>
      <c r="F10" s="60" t="n">
        <v>22.4</v>
      </c>
      <c r="G10" s="102">
        <f>E10+F10</f>
        <v/>
      </c>
      <c r="H10" s="44" t="n">
        <v>1.5</v>
      </c>
      <c r="I10" s="44" t="n">
        <v>3</v>
      </c>
      <c r="J10" s="45">
        <f>G10*1000/(H10*1000)</f>
        <v/>
      </c>
      <c r="K10" s="45">
        <f>G10*1000/(I10*1000)</f>
        <v/>
      </c>
      <c r="L10" s="60" t="n">
        <v>4.5</v>
      </c>
      <c r="M10" s="103">
        <f>G10/L10</f>
        <v/>
      </c>
      <c r="N10" s="104" t="inlineStr">
        <is>
          <t>Market cap per Statista 2026. Net debt derived from reported net debt to EBITDA of 4.98x.</t>
        </is>
      </c>
      <c r="O10" s="15" t="n"/>
    </row>
    <row r="11" ht="34" customHeight="1">
      <c r="B11" s="17" t="inlineStr">
        <is>
          <t>Digital Realty Trust</t>
        </is>
      </c>
      <c r="C11" s="105" t="inlineStr">
        <is>
          <t>DLR</t>
        </is>
      </c>
      <c r="D11" s="59" t="inlineStr">
        <is>
          <t>Hyperscale leasing and colocation</t>
        </is>
      </c>
      <c r="E11" s="61" t="n">
        <v>50</v>
      </c>
      <c r="F11" s="61" t="n">
        <v>18</v>
      </c>
      <c r="G11" s="106">
        <f>E11+F11</f>
        <v/>
      </c>
      <c r="H11" s="47" t="n">
        <v>2.6</v>
      </c>
      <c r="I11" s="47" t="n">
        <v>5.5</v>
      </c>
      <c r="J11" s="52">
        <f>G11*1000/(H11*1000)</f>
        <v/>
      </c>
      <c r="K11" s="52">
        <f>G11*1000/(I11*1000)</f>
        <v/>
      </c>
      <c r="L11" s="61" t="n">
        <v>3.1</v>
      </c>
      <c r="M11" s="107">
        <f>G11/L11</f>
        <v/>
      </c>
      <c r="N11" s="108" t="inlineStr">
        <is>
          <t>Market cap inferred from the reported spread to Equinix. EBITDA per FY2025 reporting.</t>
        </is>
      </c>
    </row>
    <row r="12">
      <c r="B12" s="100" t="inlineStr">
        <is>
          <t>AI cloud platforms</t>
        </is>
      </c>
      <c r="C12" s="3" t="n"/>
      <c r="D12" s="3" t="n"/>
      <c r="E12" s="3" t="n"/>
      <c r="F12" s="3" t="n"/>
      <c r="G12" s="3" t="n"/>
      <c r="H12" s="3" t="n"/>
      <c r="I12" s="3" t="n"/>
      <c r="J12" s="3" t="n"/>
      <c r="K12" s="3" t="n"/>
      <c r="L12" s="3" t="n"/>
      <c r="M12" s="3" t="n"/>
      <c r="N12" s="3" t="n"/>
      <c r="O12" s="3" t="n"/>
    </row>
    <row r="13" ht="34" customHeight="1">
      <c r="B13" s="12" t="inlineStr">
        <is>
          <t>CoreWeave</t>
        </is>
      </c>
      <c r="C13" s="101" t="inlineStr">
        <is>
          <t>CRWV</t>
        </is>
      </c>
      <c r="D13" s="58" t="inlineStr">
        <is>
          <t>GPU cloud, leased and owned capacity</t>
        </is>
      </c>
      <c r="E13" s="60" t="n">
        <v>60</v>
      </c>
      <c r="F13" s="60" t="n">
        <v>20</v>
      </c>
      <c r="G13" s="102">
        <f>E13+F13</f>
        <v/>
      </c>
      <c r="H13" s="44" t="n">
        <v>0.9</v>
      </c>
      <c r="I13" s="44" t="n">
        <v>2.9</v>
      </c>
      <c r="J13" s="45">
        <f>G13*1000/(H13*1000)</f>
        <v/>
      </c>
      <c r="K13" s="45">
        <f>G13*1000/(I13*1000)</f>
        <v/>
      </c>
      <c r="L13" s="60" t="n">
        <v>4.2</v>
      </c>
      <c r="M13" s="103">
        <f>G13/L13</f>
        <v/>
      </c>
      <c r="N13" s="104" t="inlineStr">
        <is>
          <t>Estimate. Contracted revenue of approximately $28M per MW per Futurum.</t>
        </is>
      </c>
      <c r="O13" s="15" t="n"/>
    </row>
    <row r="14" ht="34" customHeight="1">
      <c r="B14" s="17" t="inlineStr">
        <is>
          <t>IREN</t>
        </is>
      </c>
      <c r="C14" s="105" t="inlineStr">
        <is>
          <t>IREN</t>
        </is>
      </c>
      <c r="D14" s="59" t="inlineStr">
        <is>
          <t>Owned power plus GPU cloud</t>
        </is>
      </c>
      <c r="E14" s="61" t="n">
        <v>16.7</v>
      </c>
      <c r="F14" s="61" t="n">
        <v>1</v>
      </c>
      <c r="G14" s="106">
        <f>E14+F14</f>
        <v/>
      </c>
      <c r="H14" s="47" t="n">
        <v>0.8</v>
      </c>
      <c r="I14" s="47" t="n">
        <v>5</v>
      </c>
      <c r="J14" s="52">
        <f>G14*1000/(H14*1000)</f>
        <v/>
      </c>
      <c r="K14" s="52">
        <f>G14*1000/(I14*1000)</f>
        <v/>
      </c>
      <c r="L14" s="61" t="n">
        <v>1.3</v>
      </c>
      <c r="M14" s="107">
        <f>G14/L14</f>
        <v/>
      </c>
      <c r="N14" s="108" t="inlineStr">
        <is>
          <t>Market cap as of April 2026. Secured power portfolio of 5 GW across three continents.</t>
        </is>
      </c>
    </row>
    <row r="15">
      <c r="B15" s="100" t="inlineStr">
        <is>
          <t>Powered land and converted miners</t>
        </is>
      </c>
      <c r="C15" s="3" t="n"/>
      <c r="D15" s="3" t="n"/>
      <c r="E15" s="3" t="n"/>
      <c r="F15" s="3" t="n"/>
      <c r="G15" s="3" t="n"/>
      <c r="H15" s="3" t="n"/>
      <c r="I15" s="3" t="n"/>
      <c r="J15" s="3" t="n"/>
      <c r="K15" s="3" t="n"/>
      <c r="L15" s="3" t="n"/>
      <c r="M15" s="3" t="n"/>
      <c r="N15" s="3" t="n"/>
      <c r="O15" s="3" t="n"/>
    </row>
    <row r="16" ht="34" customHeight="1">
      <c r="B16" s="12" t="inlineStr">
        <is>
          <t>TeraWulf</t>
        </is>
      </c>
      <c r="C16" s="101" t="inlineStr">
        <is>
          <t>WULF</t>
        </is>
      </c>
      <c r="D16" s="58" t="inlineStr">
        <is>
          <t>Powered land, colocation to AI tenants</t>
        </is>
      </c>
      <c r="E16" s="60" t="n">
        <v>9</v>
      </c>
      <c r="F16" s="60" t="n">
        <v>3</v>
      </c>
      <c r="G16" s="102">
        <f>E16+F16</f>
        <v/>
      </c>
      <c r="H16" s="44" t="n">
        <v>0.4</v>
      </c>
      <c r="I16" s="44" t="n">
        <v>2.9</v>
      </c>
      <c r="J16" s="45">
        <f>G16*1000/(H16*1000)</f>
        <v/>
      </c>
      <c r="K16" s="45">
        <f>G16*1000/(I16*1000)</f>
        <v/>
      </c>
      <c r="L16" s="60" t="n">
        <v>0.55</v>
      </c>
      <c r="M16" s="103">
        <f>G16/L16</f>
        <v/>
      </c>
      <c r="N16" s="104" t="inlineStr">
        <is>
          <t>Estimate. Platform of 2.9 GW with more than $13B of contracted revenue.</t>
        </is>
      </c>
      <c r="O16" s="15" t="n"/>
    </row>
    <row r="17" ht="34" customHeight="1">
      <c r="B17" s="17" t="inlineStr">
        <is>
          <t>Cipher Mining</t>
        </is>
      </c>
      <c r="C17" s="105" t="inlineStr">
        <is>
          <t>CIFR</t>
        </is>
      </c>
      <c r="D17" s="59" t="inlineStr">
        <is>
          <t>Powered land, HPC colocation</t>
        </is>
      </c>
      <c r="E17" s="61" t="n">
        <v>7</v>
      </c>
      <c r="F17" s="61" t="n">
        <v>1.5</v>
      </c>
      <c r="G17" s="106">
        <f>E17+F17</f>
        <v/>
      </c>
      <c r="H17" s="47" t="n">
        <v>0.3</v>
      </c>
      <c r="I17" s="47" t="n">
        <v>2.6</v>
      </c>
      <c r="J17" s="52">
        <f>G17*1000/(H17*1000)</f>
        <v/>
      </c>
      <c r="K17" s="52">
        <f>G17*1000/(I17*1000)</f>
        <v/>
      </c>
      <c r="L17" s="61" t="n">
        <v>0.4</v>
      </c>
      <c r="M17" s="107">
        <f>G17/L17</f>
        <v/>
      </c>
      <c r="N17" s="108" t="inlineStr">
        <is>
          <t>Estimate. 700 MW of contracted HPC capacity.</t>
        </is>
      </c>
    </row>
    <row r="18" ht="34" customHeight="1">
      <c r="B18" s="12" t="inlineStr">
        <is>
          <t>Galaxy Digital</t>
        </is>
      </c>
      <c r="C18" s="101" t="inlineStr">
        <is>
          <t>GLXY</t>
        </is>
      </c>
      <c r="D18" s="58" t="inlineStr">
        <is>
          <t>Helios campus, colocation to CoreWeave</t>
        </is>
      </c>
      <c r="E18" s="60" t="n">
        <v>12</v>
      </c>
      <c r="F18" s="60" t="n">
        <v>1</v>
      </c>
      <c r="G18" s="102">
        <f>E18+F18</f>
        <v/>
      </c>
      <c r="H18" s="44" t="n">
        <v>0.2</v>
      </c>
      <c r="I18" s="44" t="n">
        <v>0.8</v>
      </c>
      <c r="J18" s="45">
        <f>G18*1000/(H18*1000)</f>
        <v/>
      </c>
      <c r="K18" s="45">
        <f>G18*1000/(I18*1000)</f>
        <v/>
      </c>
      <c r="L18" s="60" t="n">
        <v>0.35</v>
      </c>
      <c r="M18" s="103">
        <f>G18/L18</f>
        <v/>
      </c>
      <c r="N18" s="104" t="inlineStr">
        <is>
          <t>Estimate. 200 MW contracted with CoreWeave, approximately $4.5B of revenue over 15 years.</t>
        </is>
      </c>
      <c r="O18" s="15" t="n"/>
    </row>
    <row r="19" ht="18" customHeight="1">
      <c r="B19" s="70" t="inlineStr">
        <is>
          <t>MEDIAN</t>
        </is>
      </c>
      <c r="C19" s="80" t="n"/>
      <c r="D19" s="80" t="n"/>
      <c r="E19" s="80" t="n"/>
      <c r="F19" s="80" t="n"/>
      <c r="G19" s="109">
        <f>MEDIAN(G10,G11,G13,G14,G16,G17,G18)</f>
        <v/>
      </c>
      <c r="H19" s="80" t="n"/>
      <c r="I19" s="80" t="n"/>
      <c r="J19" s="110">
        <f>MEDIAN(J10,J11,J13,J14,J16,J17,J18)</f>
        <v/>
      </c>
      <c r="K19" s="110">
        <f>MEDIAN(K10,K11,K13,K14,K16,K17,K18)</f>
        <v/>
      </c>
      <c r="L19" s="80" t="n"/>
      <c r="M19" s="111">
        <f>MEDIAN(M10,M11,M13,M14,M16,M17,M18)</f>
        <v/>
      </c>
      <c r="N19" s="80" t="n"/>
      <c r="O19" s="80" t="n"/>
    </row>
    <row r="20">
      <c r="B20" s="112" t="inlineStr">
        <is>
          <t>Mean</t>
        </is>
      </c>
      <c r="C20" s="113" t="n"/>
      <c r="D20" s="113" t="n"/>
      <c r="E20" s="113" t="n"/>
      <c r="F20" s="113" t="n"/>
      <c r="G20" s="106">
        <f>AVERAGE(G10,G11,G13,G14,G16,G17,G18)</f>
        <v/>
      </c>
      <c r="H20" s="113" t="n"/>
      <c r="I20" s="113" t="n"/>
      <c r="J20" s="114">
        <f>AVERAGE(J10,J11,J13,J14,J16,J17,J18)</f>
        <v/>
      </c>
      <c r="K20" s="114">
        <f>AVERAGE(K10,K11,K13,K14,K16,K17,K18)</f>
        <v/>
      </c>
      <c r="L20" s="113" t="n"/>
      <c r="M20" s="115">
        <f>AVERAGE(M10,M11,M13,M14,M16,M17,M18)</f>
        <v/>
      </c>
      <c r="N20" s="113" t="n"/>
      <c r="O20" s="113" t="n"/>
    </row>
    <row r="22">
      <c r="B22" s="23" t="inlineStr">
        <is>
          <t>Operating capacity is critical IT load in service. Secured capacity is operating capacity plus contracted power and advanced stage pipeline. The two denominators produce very different results, so read enterprise value per megawatt only alongside the basis it is struck on.</t>
        </is>
      </c>
    </row>
    <row r="23">
      <c r="B23" s="23" t="inlineStr">
        <is>
          <t>Data center REITs have traded at 25x to 40x price to funds from operations through the 2025 and 2026 AI cycle. Equinix trailing enterprise value to EBITDA has been reported at 28x to 30x against a five year range of 24x to 40x.</t>
        </is>
      </c>
    </row>
    <row r="25" ht="17" customHeight="1">
      <c r="B25" s="10" t="inlineStr">
        <is>
          <t>B.  DISCLOSED CONTRACT ECONOMICS, BENCHMARKED AGAINST THE PROGRAM LEASE RATE</t>
        </is>
      </c>
      <c r="C25" s="10" t="n"/>
      <c r="D25" s="10" t="n"/>
      <c r="E25" s="10" t="n"/>
      <c r="F25" s="10" t="n"/>
      <c r="G25" s="10" t="n"/>
      <c r="H25" s="10" t="n"/>
      <c r="I25" s="10" t="n"/>
      <c r="J25" s="10" t="n"/>
      <c r="K25" s="10" t="n"/>
      <c r="L25" s="10" t="n"/>
      <c r="M25" s="10" t="n"/>
      <c r="N25" s="10" t="n"/>
      <c r="O25" s="10" t="n"/>
    </row>
    <row r="26" ht="28" customHeight="1">
      <c r="B26" s="11" t="inlineStr">
        <is>
          <t>Company</t>
        </is>
      </c>
      <c r="C26" s="11" t="inlineStr">
        <is>
          <t>Ticker</t>
        </is>
      </c>
      <c r="D26" s="11" t="inlineStr">
        <is>
          <t>Contract detail</t>
        </is>
      </c>
      <c r="E26" s="11" t="inlineStr">
        <is>
          <t>Contract value ($B)</t>
        </is>
      </c>
      <c r="F26" s="11" t="inlineStr">
        <is>
          <t>Contracted MW</t>
        </is>
      </c>
      <c r="G26" s="11" t="inlineStr">
        <is>
          <t>Value per MW ($M)</t>
        </is>
      </c>
      <c r="H26" s="11" t="inlineStr">
        <is>
          <t>Term (years)</t>
        </is>
      </c>
      <c r="I26" s="11" t="inlineStr">
        <is>
          <t>Revenue per MW per year ($M)</t>
        </is>
      </c>
      <c r="J26" s="11" t="inlineStr">
        <is>
          <t>Implied rate ($/kW/month)</t>
        </is>
      </c>
      <c r="K26" s="11" t="inlineStr"/>
      <c r="L26" s="11" t="inlineStr"/>
      <c r="M26" s="11" t="inlineStr"/>
      <c r="N26" s="11" t="inlineStr">
        <is>
          <t>Source</t>
        </is>
      </c>
      <c r="O26" s="11" t="inlineStr"/>
    </row>
    <row r="27">
      <c r="B27" s="100" t="inlineStr">
        <is>
          <t>Colocation and hosting contracts, directly comparable to this program</t>
        </is>
      </c>
      <c r="C27" s="3" t="n"/>
      <c r="D27" s="3" t="n"/>
      <c r="E27" s="3" t="n"/>
      <c r="F27" s="3" t="n"/>
      <c r="G27" s="3" t="n"/>
      <c r="H27" s="3" t="n"/>
      <c r="I27" s="3" t="n"/>
      <c r="J27" s="3" t="n"/>
      <c r="K27" s="3" t="n"/>
      <c r="L27" s="3" t="n"/>
      <c r="M27" s="3" t="n"/>
      <c r="N27" s="3" t="n"/>
      <c r="O27" s="3" t="n"/>
    </row>
    <row r="28" ht="26" customHeight="1">
      <c r="B28" s="12" t="inlineStr">
        <is>
          <t>TeraWulf</t>
        </is>
      </c>
      <c r="C28" s="101" t="inlineStr">
        <is>
          <t>WULF</t>
        </is>
      </c>
      <c r="D28" s="58" t="inlineStr">
        <is>
          <t>Aggregate AI hosting contracts across the platform</t>
        </is>
      </c>
      <c r="E28" s="60" t="n">
        <v>12.8</v>
      </c>
      <c r="F28" s="34" t="n">
        <v>700</v>
      </c>
      <c r="G28" s="45">
        <f>E28*1000/F28</f>
        <v/>
      </c>
      <c r="H28" s="34" t="n">
        <v>10</v>
      </c>
      <c r="I28" s="116">
        <f>G28/H28</f>
        <v/>
      </c>
      <c r="J28" s="79">
        <f>I28*1000000/1000/12</f>
        <v/>
      </c>
      <c r="K28" s="15" t="n"/>
      <c r="L28" s="15" t="n"/>
      <c r="M28" s="15" t="n"/>
      <c r="N28" s="104" t="inlineStr">
        <is>
          <t>Company disclosure, 2026</t>
        </is>
      </c>
      <c r="O28" s="15" t="n"/>
    </row>
    <row r="29" ht="26" customHeight="1">
      <c r="B29" s="17" t="inlineStr">
        <is>
          <t>Galaxy Digital</t>
        </is>
      </c>
      <c r="C29" s="105" t="inlineStr">
        <is>
          <t>GLXY</t>
        </is>
      </c>
      <c r="D29" s="59" t="inlineStr">
        <is>
          <t>CoreWeave lease at the Helios campus</t>
        </is>
      </c>
      <c r="E29" s="61" t="n">
        <v>4.5</v>
      </c>
      <c r="F29" s="37" t="n">
        <v>200</v>
      </c>
      <c r="G29" s="52">
        <f>E29*1000/F29</f>
        <v/>
      </c>
      <c r="H29" s="37" t="n">
        <v>15</v>
      </c>
      <c r="I29" s="84">
        <f>G29/H29</f>
        <v/>
      </c>
      <c r="J29" s="78">
        <f>I29*1000000/1000/12</f>
        <v/>
      </c>
      <c r="N29" s="108" t="inlineStr">
        <is>
          <t>Company disclosure, 2026</t>
        </is>
      </c>
    </row>
    <row r="30" ht="18" customHeight="1">
      <c r="B30" s="70" t="inlineStr">
        <is>
          <t>MEDIAN, COLOCATION AND HOSTING</t>
        </is>
      </c>
      <c r="C30" s="80" t="n"/>
      <c r="D30" s="80" t="n"/>
      <c r="E30" s="80" t="n"/>
      <c r="F30" s="80" t="n"/>
      <c r="G30" s="110">
        <f>MEDIAN(G28:G29)</f>
        <v/>
      </c>
      <c r="H30" s="80" t="n"/>
      <c r="I30" s="71">
        <f>MEDIAN(I28:I29)</f>
        <v/>
      </c>
      <c r="J30" s="81">
        <f>MEDIAN(J28:J29)</f>
        <v/>
      </c>
      <c r="K30" s="80" t="n"/>
      <c r="L30" s="80" t="n"/>
      <c r="M30" s="80" t="n"/>
      <c r="N30" s="80" t="n"/>
      <c r="O30" s="80" t="n"/>
    </row>
    <row r="31">
      <c r="B31" s="117" t="inlineStr">
        <is>
          <t>This program, base case assumption</t>
        </is>
      </c>
      <c r="C31" s="31" t="n"/>
      <c r="D31" s="118" t="inlineStr">
        <is>
          <t>Stabilized triple net lease, large block</t>
        </is>
      </c>
      <c r="E31" s="31" t="n"/>
      <c r="F31" s="31" t="n"/>
      <c r="G31" s="31" t="n"/>
      <c r="H31" s="31" t="n"/>
      <c r="I31" s="119">
        <f>Lease_Rate_kW_Mo*1000*12/1000000</f>
        <v/>
      </c>
      <c r="J31" s="120">
        <f>Lease_Rate_kW_Mo</f>
        <v/>
      </c>
      <c r="K31" s="31" t="n"/>
      <c r="L31" s="31" t="n"/>
      <c r="M31" s="31" t="n"/>
      <c r="N31" s="31" t="n"/>
      <c r="O31" s="31" t="n"/>
    </row>
    <row r="32">
      <c r="B32" s="17" t="inlineStr">
        <is>
          <t>Premium to the colocation median</t>
        </is>
      </c>
      <c r="C32" s="113" t="n"/>
      <c r="D32" s="113" t="n"/>
      <c r="E32" s="113" t="n"/>
      <c r="F32" s="113" t="n"/>
      <c r="G32" s="113" t="n"/>
      <c r="H32" s="113" t="n"/>
      <c r="J32" s="121">
        <f>J31/J30-1</f>
        <v/>
      </c>
    </row>
    <row r="34">
      <c r="B34" s="100" t="inlineStr">
        <is>
          <t>Bundled compute contracts, not directly comparable</t>
        </is>
      </c>
      <c r="C34" s="3" t="n"/>
      <c r="D34" s="3" t="n"/>
      <c r="E34" s="3" t="n"/>
      <c r="F34" s="3" t="n"/>
      <c r="G34" s="3" t="n"/>
      <c r="H34" s="3" t="n"/>
      <c r="I34" s="3" t="n"/>
      <c r="J34" s="3" t="n"/>
      <c r="K34" s="3" t="n"/>
      <c r="L34" s="3" t="n"/>
      <c r="M34" s="3" t="n"/>
      <c r="N34" s="3" t="n"/>
      <c r="O34" s="3" t="n"/>
    </row>
    <row r="35" ht="26" customHeight="1">
      <c r="B35" s="12" t="inlineStr">
        <is>
          <t>IREN</t>
        </is>
      </c>
      <c r="C35" s="101" t="inlineStr">
        <is>
          <t>IREN</t>
        </is>
      </c>
      <c r="D35" s="58" t="inlineStr">
        <is>
          <t>Microsoft AI cloud partnership and related offtake</t>
        </is>
      </c>
      <c r="E35" s="14" t="inlineStr">
        <is>
          <t>n.a.</t>
        </is>
      </c>
      <c r="F35" s="14" t="inlineStr">
        <is>
          <t>n.a.</t>
        </is>
      </c>
      <c r="G35" s="44" t="n">
        <v>40</v>
      </c>
      <c r="H35" s="14" t="inlineStr">
        <is>
          <t>n.a.</t>
        </is>
      </c>
      <c r="I35" s="14" t="inlineStr">
        <is>
          <t>n.a.</t>
        </is>
      </c>
      <c r="J35" s="14" t="inlineStr">
        <is>
          <t>n.a.</t>
        </is>
      </c>
      <c r="K35" s="15" t="n"/>
      <c r="L35" s="15" t="n"/>
      <c r="M35" s="15" t="n"/>
      <c r="N35" s="104" t="inlineStr">
        <is>
          <t>Futurum, August 2026</t>
        </is>
      </c>
      <c r="O35" s="15" t="n"/>
    </row>
    <row r="36" ht="26" customHeight="1">
      <c r="B36" s="17" t="inlineStr">
        <is>
          <t>CoreWeave</t>
        </is>
      </c>
      <c r="C36" s="105" t="inlineStr">
        <is>
          <t>CRWV</t>
        </is>
      </c>
      <c r="D36" s="59" t="inlineStr">
        <is>
          <t>Aggregate contracted backlog</t>
        </is>
      </c>
      <c r="E36" s="19" t="inlineStr">
        <is>
          <t>n.a.</t>
        </is>
      </c>
      <c r="F36" s="19" t="inlineStr">
        <is>
          <t>n.a.</t>
        </is>
      </c>
      <c r="G36" s="47" t="n">
        <v>28</v>
      </c>
      <c r="H36" s="19" t="inlineStr">
        <is>
          <t>n.a.</t>
        </is>
      </c>
      <c r="I36" s="19" t="inlineStr">
        <is>
          <t>n.a.</t>
        </is>
      </c>
      <c r="J36" s="19" t="inlineStr">
        <is>
          <t>n.a.</t>
        </is>
      </c>
      <c r="N36" s="108" t="inlineStr">
        <is>
          <t>Futurum, August 2026</t>
        </is>
      </c>
    </row>
    <row r="38">
      <c r="B38" s="23" t="inlineStr">
        <is>
          <t>The colocation and hosting contracts are the right benchmark for this program, because the landlord delivers space, power and cooling and the tenant supplies its own compute. On that basis the observed rate sits near the median shown above, and the base case assumption of $165 per kW per month carries the premium shown in the shaded row.</t>
        </is>
      </c>
    </row>
    <row r="39">
      <c r="B39" s="23" t="inlineStr">
        <is>
          <t>We view that premium as defensible but not free. It reflects newer liquid cooling capable capacity and asking rates that CBRE reports rising 6.7% year over year for blocks above 10 MW, and both comparable contracts were struck before that move. It is also the single assumption most worth testing, since every 10% reduction in the lease rate removes roughly 110 bps from the yield on cost.</t>
        </is>
      </c>
    </row>
    <row r="40">
      <c r="B40" s="23" t="inlineStr">
        <is>
          <t>Cipher Mining discloses 700 MW of contracted HPC capacity alongside approximately $787M of contracted value. Those two figures do not map to one another on the face of the disclosure, so no rate is derived here. Confirm the contracted megawatts that the disclosed value corresponds to before using Cipher as a comparable.</t>
        </is>
      </c>
    </row>
    <row r="41">
      <c r="B41" s="23" t="inlineStr">
        <is>
          <t>Contracts that bundle GPU compute alongside space and power carry far higher revenue per MW and far higher cost of goods sold, so they are shown separately and are not included in any median on this page.</t>
        </is>
      </c>
    </row>
  </sheetData>
  <pageMargins left="0.75" right="0.75" top="1" bottom="1" header="0.5" footer="0.5"/>
  <pageSetup orientation="landscape" fitToHeight="0" fitToWidth="1"/>
  <headerFooter>
    <oddHeader/>
    <oddFooter>&amp;L&amp;6 &amp;K9AA0A8CONFIDENTIAL   |   FOR DISCUSSION PURPOSES ONLY   |   NOT AN OFFER TO SELL OR A SOLICITATION OF AN OFFER TO BUY SECURITIES&amp;R&amp;6 &amp;K9AA0A8Page &amp;P of &amp;N</oddFooter>
    <evenHeader/>
    <evenFooter/>
    <firstHeader/>
    <firstFooter/>
  </headerFooter>
</worksheet>
</file>

<file path=xl/worksheets/sheet6.xml><?xml version="1.0" encoding="utf-8"?>
<worksheet xmlns="http://schemas.openxmlformats.org/spreadsheetml/2006/main">
  <sheetPr>
    <tabColor rgb="000F2F51"/>
    <outlinePr summaryBelow="1" summaryRight="1"/>
    <pageSetUpPr fitToPage="1"/>
  </sheetPr>
  <dimension ref="B2:L35"/>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2" customWidth="1" min="1" max="1"/>
    <col width="10" customWidth="1" min="2" max="2"/>
    <col width="24" customWidth="1" min="3" max="3"/>
    <col width="30"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44" customWidth="1" min="12" max="12"/>
  </cols>
  <sheetData>
    <row r="2" ht="20" customHeight="1">
      <c r="B2" s="9" t="inlineStr">
        <is>
          <t>PRIVATE COMPARABLES: PLATFORM M&amp;A AND PROJECT LEVEL FINANCINGS (1 OF 1)</t>
        </is>
      </c>
      <c r="C2" s="9" t="n"/>
      <c r="D2" s="9" t="n"/>
      <c r="E2" s="9" t="n"/>
      <c r="F2" s="9" t="n"/>
      <c r="G2" s="9" t="n"/>
      <c r="H2" s="9" t="n"/>
      <c r="I2" s="9" t="n"/>
      <c r="J2" s="9" t="n"/>
      <c r="K2" s="9" t="n"/>
      <c r="L2" s="9" t="n"/>
    </row>
    <row r="3" ht="4" customHeight="1">
      <c r="B3" s="3" t="n"/>
      <c r="C3" s="3" t="n"/>
      <c r="D3" s="3" t="n"/>
      <c r="E3" s="3" t="n"/>
      <c r="F3" s="3" t="n"/>
      <c r="G3" s="3" t="n"/>
      <c r="H3" s="3" t="n"/>
      <c r="I3" s="3" t="n"/>
      <c r="J3" s="3" t="n"/>
      <c r="K3" s="3" t="n"/>
      <c r="L3" s="3" t="n"/>
    </row>
    <row r="5" ht="17" customHeight="1">
      <c r="B5" s="10" t="inlineStr">
        <is>
          <t>A.  PLATFORM M&amp;A TRANSACTIONS</t>
        </is>
      </c>
      <c r="C5" s="10" t="n"/>
      <c r="D5" s="10" t="n"/>
      <c r="E5" s="10" t="n"/>
      <c r="F5" s="10" t="n"/>
      <c r="G5" s="10" t="n"/>
      <c r="H5" s="10" t="n"/>
      <c r="I5" s="10" t="n"/>
      <c r="J5" s="10" t="n"/>
      <c r="K5" s="10" t="n"/>
      <c r="L5" s="10" t="n"/>
    </row>
    <row r="6" ht="28" customHeight="1">
      <c r="B6" s="11" t="inlineStr">
        <is>
          <t>Date</t>
        </is>
      </c>
      <c r="C6" s="11" t="inlineStr">
        <is>
          <t>Target</t>
        </is>
      </c>
      <c r="D6" s="11" t="inlineStr">
        <is>
          <t>Acquirer</t>
        </is>
      </c>
      <c r="E6" s="11" t="inlineStr">
        <is>
          <t>Enterprise value ($B)</t>
        </is>
      </c>
      <c r="F6" s="11" t="inlineStr">
        <is>
          <t>Operating capacity (GW)</t>
        </is>
      </c>
      <c r="G6" s="11" t="inlineStr">
        <is>
          <t>Total capacity (GW)</t>
        </is>
      </c>
      <c r="H6" s="11" t="inlineStr">
        <is>
          <t>EV per operating MW ($M)</t>
        </is>
      </c>
      <c r="I6" s="11" t="inlineStr">
        <is>
          <t>EV per total MW ($M)</t>
        </is>
      </c>
      <c r="J6" s="11" t="inlineStr">
        <is>
          <t>EV / EBITDA (x)</t>
        </is>
      </c>
      <c r="K6" s="11" t="inlineStr">
        <is>
          <t>Comment</t>
        </is>
      </c>
      <c r="L6" s="11" t="inlineStr"/>
    </row>
    <row r="7" ht="30" customHeight="1">
      <c r="B7" s="101" t="inlineStr">
        <is>
          <t>Oct-25</t>
        </is>
      </c>
      <c r="C7" s="36" t="inlineStr">
        <is>
          <t>Aligned Data Centers</t>
        </is>
      </c>
      <c r="D7" s="58" t="inlineStr">
        <is>
          <t>AIP, MGX and GIP (BlackRock)</t>
        </is>
      </c>
      <c r="E7" s="60" t="n">
        <v>40</v>
      </c>
      <c r="F7" s="44" t="n">
        <v>1.5</v>
      </c>
      <c r="G7" s="44" t="n">
        <v>5</v>
      </c>
      <c r="H7" s="45">
        <f>E7*1000/(F7*1000)</f>
        <v/>
      </c>
      <c r="I7" s="45">
        <f>E7*1000/(G7*1000)</f>
        <v/>
      </c>
      <c r="J7" s="14" t="inlineStr">
        <is>
          <t>n.a.</t>
        </is>
      </c>
      <c r="K7" s="104" t="inlineStr">
        <is>
          <t>Largest private data center transaction on record. Capacity spans 50 facilities.</t>
        </is>
      </c>
      <c r="L7" s="15" t="n"/>
    </row>
    <row r="8" ht="30" customHeight="1">
      <c r="B8" s="105" t="inlineStr">
        <is>
          <t>Sep-24</t>
        </is>
      </c>
      <c r="C8" s="39" t="inlineStr">
        <is>
          <t>AirTrunk</t>
        </is>
      </c>
      <c r="D8" s="59" t="inlineStr">
        <is>
          <t>Blackstone and CPP Investments</t>
        </is>
      </c>
      <c r="E8" s="61" t="n">
        <v>16</v>
      </c>
      <c r="F8" s="47" t="n">
        <v>0.8</v>
      </c>
      <c r="G8" s="47" t="n">
        <v>1.8</v>
      </c>
      <c r="H8" s="52">
        <f>E8*1000/(F8*1000)</f>
        <v/>
      </c>
      <c r="I8" s="52">
        <f>E8*1000/(G8*1000)</f>
        <v/>
      </c>
      <c r="J8" s="122" t="n">
        <v>28</v>
      </c>
      <c r="K8" s="108" t="inlineStr">
        <is>
          <t>Asia Pacific platform. Priced at a scarcity premium for secured power.</t>
        </is>
      </c>
    </row>
    <row r="9" ht="30" customHeight="1">
      <c r="B9" s="101" t="inlineStr">
        <is>
          <t>2023</t>
        </is>
      </c>
      <c r="C9" s="36" t="inlineStr">
        <is>
          <t>Vantage Data Centers</t>
        </is>
      </c>
      <c r="D9" s="58" t="inlineStr">
        <is>
          <t>DigitalBridge and Silver Lake</t>
        </is>
      </c>
      <c r="E9" s="60" t="n">
        <v>30</v>
      </c>
      <c r="F9" s="44" t="n">
        <v>1.5</v>
      </c>
      <c r="G9" s="44" t="n">
        <v>3</v>
      </c>
      <c r="H9" s="45">
        <f>E9*1000/(F9*1000)</f>
        <v/>
      </c>
      <c r="I9" s="45">
        <f>E9*1000/(G9*1000)</f>
        <v/>
      </c>
      <c r="J9" s="14" t="inlineStr">
        <is>
          <t>n.a.</t>
        </is>
      </c>
      <c r="K9" s="104" t="inlineStr">
        <is>
          <t>Recapitalization of the global platform.</t>
        </is>
      </c>
      <c r="L9" s="15" t="n"/>
    </row>
    <row r="10" ht="30" customHeight="1">
      <c r="B10" s="105" t="inlineStr">
        <is>
          <t>Dec-22</t>
        </is>
      </c>
      <c r="C10" s="39" t="inlineStr">
        <is>
          <t>Switch</t>
        </is>
      </c>
      <c r="D10" s="59" t="inlineStr">
        <is>
          <t>DigitalBridge and IFM Investors</t>
        </is>
      </c>
      <c r="E10" s="61" t="n">
        <v>11</v>
      </c>
      <c r="F10" s="47" t="n">
        <v>0.5</v>
      </c>
      <c r="G10" s="47" t="n">
        <v>0.7</v>
      </c>
      <c r="H10" s="52">
        <f>E10*1000/(F10*1000)</f>
        <v/>
      </c>
      <c r="I10" s="52">
        <f>E10*1000/(G10*1000)</f>
        <v/>
      </c>
      <c r="J10" s="122" t="n">
        <v>23</v>
      </c>
      <c r="K10" s="108" t="inlineStr">
        <is>
          <t>Take private of a US hyperscale and colocation operator.</t>
        </is>
      </c>
    </row>
    <row r="11" ht="30" customHeight="1">
      <c r="B11" s="101" t="inlineStr">
        <is>
          <t>Nov-21</t>
        </is>
      </c>
      <c r="C11" s="36" t="inlineStr">
        <is>
          <t>CyrusOne</t>
        </is>
      </c>
      <c r="D11" s="58" t="inlineStr">
        <is>
          <t>KKR and Global Infrastructure Partners</t>
        </is>
      </c>
      <c r="E11" s="60" t="n">
        <v>15</v>
      </c>
      <c r="F11" s="44" t="n">
        <v>1</v>
      </c>
      <c r="G11" s="44" t="n">
        <v>1.4</v>
      </c>
      <c r="H11" s="45">
        <f>E11*1000/(F11*1000)</f>
        <v/>
      </c>
      <c r="I11" s="45">
        <f>E11*1000/(G11*1000)</f>
        <v/>
      </c>
      <c r="J11" s="123" t="n">
        <v>25</v>
      </c>
      <c r="K11" s="104" t="inlineStr">
        <is>
          <t>Take private of a listed hyperscale REIT.</t>
        </is>
      </c>
      <c r="L11" s="15" t="n"/>
    </row>
    <row r="12" ht="30" customHeight="1">
      <c r="B12" s="105" t="inlineStr">
        <is>
          <t>Nov-21</t>
        </is>
      </c>
      <c r="C12" s="39" t="inlineStr">
        <is>
          <t>CoreSite</t>
        </is>
      </c>
      <c r="D12" s="59" t="inlineStr">
        <is>
          <t>American Tower</t>
        </is>
      </c>
      <c r="E12" s="61" t="n">
        <v>10.1</v>
      </c>
      <c r="F12" s="47" t="n">
        <v>0.3</v>
      </c>
      <c r="G12" s="47" t="n">
        <v>0.4</v>
      </c>
      <c r="H12" s="52">
        <f>E12*1000/(F12*1000)</f>
        <v/>
      </c>
      <c r="I12" s="52">
        <f>E12*1000/(G12*1000)</f>
        <v/>
      </c>
      <c r="J12" s="122" t="n">
        <v>26</v>
      </c>
      <c r="K12" s="108" t="inlineStr">
        <is>
          <t>Interconnection dense portfolio, priced on connectivity rather than raw power.</t>
        </is>
      </c>
    </row>
    <row r="13" ht="30" customHeight="1">
      <c r="B13" s="101" t="inlineStr">
        <is>
          <t>Jun-21</t>
        </is>
      </c>
      <c r="C13" s="36" t="inlineStr">
        <is>
          <t>QTS Realty Trust</t>
        </is>
      </c>
      <c r="D13" s="58" t="inlineStr">
        <is>
          <t>Blackstone</t>
        </is>
      </c>
      <c r="E13" s="60" t="n">
        <v>10</v>
      </c>
      <c r="F13" s="44" t="n">
        <v>0.7</v>
      </c>
      <c r="G13" s="44" t="n">
        <v>1.5</v>
      </c>
      <c r="H13" s="45">
        <f>E13*1000/(F13*1000)</f>
        <v/>
      </c>
      <c r="I13" s="45">
        <f>E13*1000/(G13*1000)</f>
        <v/>
      </c>
      <c r="J13" s="123" t="n">
        <v>25</v>
      </c>
      <c r="K13" s="104" t="inlineStr">
        <is>
          <t>Take private that opened the current cycle of infrastructure capital entering the sector.</t>
        </is>
      </c>
      <c r="L13" s="15" t="n"/>
    </row>
    <row r="14" ht="18" customHeight="1">
      <c r="B14" s="70" t="inlineStr">
        <is>
          <t>MEDIAN</t>
        </is>
      </c>
      <c r="C14" s="80" t="n"/>
      <c r="D14" s="80" t="n"/>
      <c r="E14" s="109">
        <f>MEDIAN(E7:E13)</f>
        <v/>
      </c>
      <c r="F14" s="80" t="n"/>
      <c r="G14" s="80" t="n"/>
      <c r="H14" s="110">
        <f>MEDIAN(H7:H13)</f>
        <v/>
      </c>
      <c r="I14" s="110">
        <f>MEDIAN(I7:I13)</f>
        <v/>
      </c>
      <c r="J14" s="111">
        <f>MEDIAN(J7:J13)</f>
        <v/>
      </c>
      <c r="K14" s="80" t="n"/>
      <c r="L14" s="80" t="n"/>
    </row>
    <row r="15">
      <c r="B15" s="112" t="inlineStr">
        <is>
          <t>Mean</t>
        </is>
      </c>
      <c r="C15" s="113" t="n"/>
      <c r="D15" s="113" t="n"/>
      <c r="E15" s="106">
        <f>AVERAGE(E7:E13)</f>
        <v/>
      </c>
      <c r="F15" s="113" t="n"/>
      <c r="G15" s="113" t="n"/>
      <c r="H15" s="114">
        <f>AVERAGE(H7:H13)</f>
        <v/>
      </c>
      <c r="I15" s="114">
        <f>AVERAGE(I7:I13)</f>
        <v/>
      </c>
      <c r="J15" s="115">
        <f>AVERAGE(J7:J13)</f>
        <v/>
      </c>
      <c r="K15" s="113" t="n"/>
      <c r="L15" s="113" t="n"/>
    </row>
    <row r="17">
      <c r="B17" s="23" t="inlineStr">
        <is>
          <t>Operating capacity is estimated where it was not separately disclosed at announcement. Aligned was reported at approximately $8M per MW across 5 GW of operational and planned capacity, which is the total capacity basis in column I. On the operating capacity basis in column H the same transaction prices near $27M per MW. The gap between the two columns is the single most important thing to understand on this page.</t>
        </is>
      </c>
    </row>
    <row r="18">
      <c r="B18" s="23" t="inlineStr">
        <is>
          <t>EBITDA multiples are forward multiples per press reporting at announcement and should be verified before use. Broader market surveys that include services and smaller assets report a median near 11.5x across a range of 8x to 19x, well below the platform transactions above.</t>
        </is>
      </c>
    </row>
    <row r="20" ht="17" customHeight="1">
      <c r="B20" s="10" t="inlineStr">
        <is>
          <t>B.  PROJECT LEVEL FINANCING AND DEVELOPMENT COMPARABLES</t>
        </is>
      </c>
      <c r="C20" s="10" t="n"/>
      <c r="D20" s="10" t="n"/>
      <c r="E20" s="10" t="n"/>
      <c r="F20" s="10" t="n"/>
      <c r="G20" s="10" t="n"/>
      <c r="H20" s="10" t="n"/>
      <c r="I20" s="10" t="n"/>
      <c r="J20" s="10" t="n"/>
      <c r="K20" s="10" t="n"/>
      <c r="L20" s="10" t="n"/>
    </row>
    <row r="21" ht="28" customHeight="1">
      <c r="B21" s="11" t="inlineStr">
        <is>
          <t>Year</t>
        </is>
      </c>
      <c r="C21" s="11" t="inlineStr">
        <is>
          <t>Project</t>
        </is>
      </c>
      <c r="D21" s="11" t="inlineStr">
        <is>
          <t>Sponsor and capital</t>
        </is>
      </c>
      <c r="E21" s="11" t="inlineStr">
        <is>
          <t>Program cost ($B)</t>
        </is>
      </c>
      <c r="F21" s="11" t="inlineStr">
        <is>
          <t>Capacity (GW)</t>
        </is>
      </c>
      <c r="G21" s="11" t="inlineStr"/>
      <c r="H21" s="11" t="inlineStr">
        <is>
          <t>Cost per MW ($M)</t>
        </is>
      </c>
      <c r="I21" s="11" t="inlineStr"/>
      <c r="J21" s="11" t="inlineStr"/>
      <c r="K21" s="11" t="inlineStr">
        <is>
          <t>Scope and comment</t>
        </is>
      </c>
      <c r="L21" s="11" t="inlineStr"/>
    </row>
    <row r="22" ht="44" customHeight="1">
      <c r="B22" s="101" t="inlineStr">
        <is>
          <t>2026</t>
        </is>
      </c>
      <c r="C22" s="36" t="inlineStr">
        <is>
          <t>Frontier, Shackelford County TX</t>
        </is>
      </c>
      <c r="D22" s="104" t="inlineStr">
        <is>
          <t>Vantage Data Centers, $22B debt led by JPMorgan and MUFG</t>
        </is>
      </c>
      <c r="E22" s="60" t="n">
        <v>25</v>
      </c>
      <c r="F22" s="44" t="n">
        <v>1.4</v>
      </c>
      <c r="G22" s="15" t="n"/>
      <c r="H22" s="124">
        <f>E22*1000/(F22*1000)</f>
        <v/>
      </c>
      <c r="I22" s="15" t="n"/>
      <c r="J22" s="15" t="n"/>
      <c r="K22" s="104" t="inlineStr">
        <is>
          <t>Ten buildings across 3.7M square feet. First delivery in the second half of 2026. The closest comparable to the base case cost stack.</t>
        </is>
      </c>
      <c r="L22" s="15" t="n"/>
    </row>
    <row r="23" ht="44" customHeight="1">
      <c r="B23" s="105" t="inlineStr">
        <is>
          <t>2026</t>
        </is>
      </c>
      <c r="C23" s="39" t="inlineStr">
        <is>
          <t>Hyperion, Richland Parish LA</t>
        </is>
      </c>
      <c r="D23" s="108" t="inlineStr">
        <is>
          <t>Meta, $27B joint venture with Blue Owl Capital</t>
        </is>
      </c>
      <c r="E23" s="61" t="n">
        <v>50</v>
      </c>
      <c r="F23" s="47" t="n">
        <v>5</v>
      </c>
      <c r="H23" s="114">
        <f>E23*1000/(F23*1000)</f>
        <v/>
      </c>
      <c r="K23" s="108" t="inlineStr">
        <is>
          <t>Expanded to 5 GW in July 2026 with roughly 2 GW targeted online by 2030. Directly comparable in scale to this program.</t>
        </is>
      </c>
    </row>
    <row r="24" ht="44" customHeight="1">
      <c r="B24" s="101" t="inlineStr">
        <is>
          <t>2025</t>
        </is>
      </c>
      <c r="C24" s="36" t="inlineStr">
        <is>
          <t>Stargate Abilene TX, shell scope</t>
        </is>
      </c>
      <c r="D24" s="104" t="inlineStr">
        <is>
          <t>OpenAI, Oracle, SoftBank and MGX, build to suit joint venture</t>
        </is>
      </c>
      <c r="E24" s="60" t="n">
        <v>3.4</v>
      </c>
      <c r="F24" s="44" t="n">
        <v>1.2</v>
      </c>
      <c r="G24" s="15" t="n"/>
      <c r="H24" s="124">
        <f>E24*1000/(F24*1000)</f>
        <v/>
      </c>
      <c r="I24" s="15" t="n"/>
      <c r="J24" s="15" t="n"/>
      <c r="K24" s="104" t="inlineStr">
        <is>
          <t>Shell and powered scope only. Excludes electrical and mechanical fitout and all IT equipment, which is why the cost per MW is far below the others.</t>
        </is>
      </c>
      <c r="L24" s="15" t="n"/>
    </row>
    <row r="25" ht="44" customHeight="1">
      <c r="B25" s="105" t="inlineStr">
        <is>
          <t>2025</t>
        </is>
      </c>
      <c r="C25" s="39" t="inlineStr">
        <is>
          <t>Stargate program, all in</t>
        </is>
      </c>
      <c r="D25" s="108" t="inlineStr">
        <is>
          <t>OpenAI, Oracle, SoftBank and MGX</t>
        </is>
      </c>
      <c r="E25" s="61" t="n">
        <v>500</v>
      </c>
      <c r="F25" s="47" t="n">
        <v>10</v>
      </c>
      <c r="H25" s="114">
        <f>E25*1000/(F25*1000)</f>
        <v/>
      </c>
      <c r="K25" s="108" t="inlineStr">
        <is>
          <t>Full program including GPUs, servers and networking. Sets the upper bound because it is the only line here that includes IT equipment.</t>
        </is>
      </c>
    </row>
    <row r="27">
      <c r="B27" s="23" t="inlineStr">
        <is>
          <t>The Frontier campus implies $17.9M per MW on a full scope basis. The base case cost stack on the Buildout Costs tab is $17.6M per MW, a difference of less than 2%. That is the strongest available third party validation of the program budget.</t>
        </is>
      </c>
    </row>
    <row r="29" ht="17" customHeight="1">
      <c r="B29" s="10" t="inlineStr">
        <is>
          <t>C.  MARKET ACTIVITY</t>
        </is>
      </c>
      <c r="C29" s="10" t="n"/>
      <c r="D29" s="10" t="n"/>
      <c r="E29" s="10" t="n"/>
      <c r="F29" s="10" t="n"/>
      <c r="G29" s="10" t="n"/>
      <c r="H29" s="10" t="n"/>
      <c r="I29" s="10" t="n"/>
      <c r="J29" s="10" t="n"/>
      <c r="K29" s="10" t="n"/>
      <c r="L29" s="10" t="n"/>
    </row>
    <row r="30" ht="28" customHeight="1">
      <c r="B30" s="11" t="inlineStr">
        <is>
          <t>Measure</t>
        </is>
      </c>
      <c r="C30" s="11" t="inlineStr"/>
      <c r="D30" s="11" t="inlineStr"/>
      <c r="E30" s="11" t="inlineStr">
        <is>
          <t>Value</t>
        </is>
      </c>
      <c r="F30" s="11" t="inlineStr"/>
      <c r="G30" s="11" t="inlineStr"/>
      <c r="H30" s="11" t="inlineStr">
        <is>
          <t>Comment</t>
        </is>
      </c>
      <c r="I30" s="11" t="inlineStr"/>
      <c r="J30" s="11" t="inlineStr"/>
      <c r="K30" s="11" t="inlineStr"/>
      <c r="L30" s="11" t="inlineStr"/>
    </row>
    <row r="31">
      <c r="B31" s="36" t="inlineStr">
        <is>
          <t>Data center transactions completed globally, 2025</t>
        </is>
      </c>
      <c r="C31" s="15" t="n"/>
      <c r="D31" s="15" t="n"/>
      <c r="E31" s="125" t="inlineStr">
        <is>
          <t>113</t>
        </is>
      </c>
      <c r="F31" s="15" t="n"/>
      <c r="G31" s="15" t="n"/>
      <c r="H31" s="58" t="inlineStr">
        <is>
          <t>A record year by count.</t>
        </is>
      </c>
      <c r="I31" s="15" t="n"/>
      <c r="J31" s="15" t="n"/>
      <c r="K31" s="15" t="n"/>
      <c r="L31" s="15" t="n"/>
    </row>
    <row r="32">
      <c r="B32" s="39" t="inlineStr">
        <is>
          <t>Aggregate disclosed transaction value, 2025</t>
        </is>
      </c>
      <c r="E32" s="126" t="inlineStr">
        <is>
          <t>$69B</t>
        </is>
      </c>
      <c r="H32" s="59" t="inlineStr">
        <is>
          <t>Approximately $8B above the prior annual record.</t>
        </is>
      </c>
    </row>
    <row r="33">
      <c r="B33" s="36" t="inlineStr">
        <is>
          <t>Development pipeline under construction, US</t>
        </is>
      </c>
      <c r="C33" s="15" t="n"/>
      <c r="D33" s="15" t="n"/>
      <c r="E33" s="125" t="inlineStr">
        <is>
          <t>$492B</t>
        </is>
      </c>
      <c r="F33" s="15" t="n"/>
      <c r="G33" s="15" t="n"/>
      <c r="H33" s="58" t="inlineStr">
        <is>
          <t>Cushman &amp; Wakefield 2026 cost guide.</t>
        </is>
      </c>
      <c r="I33" s="15" t="n"/>
      <c r="J33" s="15" t="n"/>
      <c r="K33" s="15" t="n"/>
      <c r="L33" s="15" t="n"/>
    </row>
    <row r="34">
      <c r="B34" s="39" t="inlineStr">
        <is>
          <t>Development pipeline planned or precommitted, US</t>
        </is>
      </c>
      <c r="E34" s="126" t="inlineStr">
        <is>
          <t>$1.8T</t>
        </is>
      </c>
      <c r="H34" s="59" t="inlineStr">
        <is>
          <t>Cushman &amp; Wakefield 2026 cost guide.</t>
        </is>
      </c>
    </row>
    <row r="35">
      <c r="B35" s="36" t="inlineStr">
        <is>
          <t>Total US development pipeline</t>
        </is>
      </c>
      <c r="C35" s="15" t="n"/>
      <c r="D35" s="15" t="n"/>
      <c r="E35" s="125" t="inlineStr">
        <is>
          <t>$2.3T</t>
        </is>
      </c>
      <c r="F35" s="15" t="n"/>
      <c r="G35" s="15" t="n"/>
      <c r="H35" s="58" t="inlineStr">
        <is>
          <t>The denominator a 5.0 GW program competes within.</t>
        </is>
      </c>
      <c r="I35" s="15" t="n"/>
      <c r="J35" s="15" t="n"/>
      <c r="K35" s="15" t="n"/>
      <c r="L35" s="15" t="n"/>
    </row>
  </sheetData>
  <pageMargins left="0.75" right="0.75" top="1" bottom="1" header="0.5" footer="0.5"/>
  <pageSetup orientation="landscape" fitToHeight="0" fitToWidth="1"/>
  <headerFooter>
    <oddHeader/>
    <oddFooter>&amp;L&amp;6 &amp;K9AA0A8CONFIDENTIAL   |   FOR DISCUSSION PURPOSES ONLY   |   NOT AN OFFER TO SELL OR A SOLICITATION OF AN OFFER TO BUY SECURITIES&amp;R&amp;6 &amp;K9AA0A8Page &amp;P of &amp;N</oddFooter>
    <evenHeader/>
    <evenFooter/>
    <firstHeader/>
    <firstFooter/>
  </headerFooter>
</worksheet>
</file>

<file path=xl/worksheets/sheet7.xml><?xml version="1.0" encoding="utf-8"?>
<worksheet xmlns="http://schemas.openxmlformats.org/spreadsheetml/2006/main">
  <sheetPr>
    <tabColor rgb="000F2F51"/>
    <outlinePr summaryBelow="1" summaryRight="1"/>
    <pageSetUpPr fitToPage="1"/>
  </sheetPr>
  <dimension ref="B2:D28"/>
  <sheetViews>
    <sheetView showGridLines="0" workbookViewId="0">
      <selection activeCell="A1" sqref="A1"/>
    </sheetView>
  </sheetViews>
  <sheetFormatPr baseColWidth="8" defaultRowHeight="15"/>
  <cols>
    <col width="2" customWidth="1" min="1" max="1"/>
    <col width="36" customWidth="1" min="2" max="2"/>
    <col width="54" customWidth="1" min="3" max="3"/>
    <col width="74" customWidth="1" min="4" max="4"/>
  </cols>
  <sheetData>
    <row r="2" ht="20" customHeight="1">
      <c r="B2" s="9" t="inlineStr">
        <is>
          <t>SOURCES, ASSUMPTIONS AND LIMITATIONS (1 OF 1)</t>
        </is>
      </c>
      <c r="C2" s="9" t="n"/>
      <c r="D2" s="9" t="n"/>
    </row>
    <row r="3" ht="4" customHeight="1">
      <c r="B3" s="3" t="n"/>
      <c r="C3" s="3" t="n"/>
      <c r="D3" s="3" t="n"/>
    </row>
    <row r="5" ht="17" customHeight="1">
      <c r="B5" s="10" t="inlineStr">
        <is>
          <t>A.  PRIMARY SOURCES</t>
        </is>
      </c>
      <c r="C5" s="10" t="n"/>
      <c r="D5" s="10" t="n"/>
    </row>
    <row r="6" ht="28" customHeight="1">
      <c r="B6" s="11" t="inlineStr">
        <is>
          <t>Source</t>
        </is>
      </c>
      <c r="C6" s="11" t="inlineStr">
        <is>
          <t>What it supports</t>
        </is>
      </c>
      <c r="D6" s="11" t="inlineStr">
        <is>
          <t>Reference</t>
        </is>
      </c>
    </row>
    <row r="7" ht="46" customHeight="1">
      <c r="B7" s="127" t="inlineStr">
        <is>
          <t>CBRE, North America Data Center Trends H1 2026</t>
        </is>
      </c>
      <c r="C7" s="30" t="inlineStr">
        <is>
          <t>Inventory of 10,903 MW, 7,481 MW under construction, 1.4% vacancy, 80.4% preleasing, 1,456 MW net absorption, Northern Virginia inventory and vacancy, asking rate growth by block size</t>
        </is>
      </c>
      <c r="D7" s="128" t="inlineStr">
        <is>
          <t>cbre.com/insights/books/north-america-data-center-trends-h1-2026</t>
        </is>
      </c>
    </row>
    <row r="8" ht="46" customHeight="1">
      <c r="B8" s="129" t="inlineStr">
        <is>
          <t>BloombergNEF, US Data Center Capacity Outlook, July 2026</t>
        </is>
      </c>
      <c r="C8" s="130" t="inlineStr">
        <is>
          <t>118 GW of installed US capacity by 2030, a 52% upward revision versus December 2025, and 194 GW by 2035</t>
        </is>
      </c>
      <c r="D8" s="131" t="inlineStr">
        <is>
          <t>about.bnef.com/insights/data-centers/six-things-to-know-about-bnefs-new-us-data-center-capacity-outlook</t>
        </is>
      </c>
    </row>
    <row r="9" ht="46" customHeight="1">
      <c r="B9" s="127" t="inlineStr">
        <is>
          <t>EPRI, Powering Intelligence 2026</t>
        </is>
      </c>
      <c r="C9" s="30" t="inlineStr">
        <is>
          <t>Data centers at 9% to 17% of US electricity generation by 2030, 60% above the prior 2024 estimate</t>
        </is>
      </c>
      <c r="D9" s="128" t="inlineStr">
        <is>
          <t>powering-intelligence.epri.com/executive-summary.html</t>
        </is>
      </c>
    </row>
    <row r="10" ht="46" customHeight="1">
      <c r="B10" s="129" t="inlineStr">
        <is>
          <t>Cushman &amp; Wakefield, 2026 US Data Center Development Cost Guide</t>
        </is>
      </c>
      <c r="C10" s="130" t="inlineStr">
        <is>
          <t>Average greenfield cost of $17.6M per MW, up 21% per MW, and the $2.3T pipeline split between $492B under construction and $1.8T planned</t>
        </is>
      </c>
      <c r="D10" s="131" t="inlineStr">
        <is>
          <t>cushmanwakefield.com/en/united-states/insights/data-center-development-cost-guide</t>
        </is>
      </c>
    </row>
    <row r="11" ht="46" customHeight="1">
      <c r="B11" s="127" t="inlineStr">
        <is>
          <t>Company reporting and press coverage, Q4 2025 through Q3 2026</t>
        </is>
      </c>
      <c r="C11" s="30" t="inlineStr">
        <is>
          <t>Hyperscaler capital expenditure of approximately $630B in 2026 versus $388B in 2025, with Amazon near $200B, Alphabet up to $185B, Meta $115B to $135B and Microsoft $110B to $120B</t>
        </is>
      </c>
      <c r="D11" s="128" t="inlineStr">
        <is>
          <t>cnbc.com and company filings</t>
        </is>
      </c>
    </row>
    <row r="12" ht="46" customHeight="1">
      <c r="B12" s="129" t="inlineStr">
        <is>
          <t>Macquarie Asset Management and BlackRock GIP announcements, October 2025</t>
        </is>
      </c>
      <c r="C12" s="130" t="inlineStr">
        <is>
          <t>Aligned Data Centers at a $40B enterprise value across 5 GW of operational and planned capacity</t>
        </is>
      </c>
      <c r="D12" s="131" t="inlineStr">
        <is>
          <t>macquarie.com and datacenterfrontier.com</t>
        </is>
      </c>
    </row>
    <row r="13" ht="46" customHeight="1">
      <c r="B13" s="127" t="inlineStr">
        <is>
          <t>Data Center Dynamics, 2026</t>
        </is>
      </c>
      <c r="C13" s="30" t="inlineStr">
        <is>
          <t>Vantage Frontier at 1.4 GW and $25B with a $22B financing led by JPMorgan and MUFG</t>
        </is>
      </c>
      <c r="D13" s="128" t="inlineStr">
        <is>
          <t>datacenterdynamics.com</t>
        </is>
      </c>
    </row>
    <row r="14" ht="46" customHeight="1">
      <c r="B14" s="129" t="inlineStr">
        <is>
          <t>Data Center Frontier and Meta disclosures, 2025 and 2026</t>
        </is>
      </c>
      <c r="C14" s="130" t="inlineStr">
        <is>
          <t>Hyperion at 5 GW and more than $50B of planned investment, including the $27B Blue Owl joint venture</t>
        </is>
      </c>
      <c r="D14" s="131" t="inlineStr">
        <is>
          <t>datacenterfrontier.com</t>
        </is>
      </c>
    </row>
    <row r="15" ht="46" customHeight="1">
      <c r="B15" s="127" t="inlineStr">
        <is>
          <t>Build.inc and Terrapin Consulting Group, 2026</t>
        </is>
      </c>
      <c r="C15" s="30" t="inlineStr">
        <is>
          <t>Power transformer lead times of 128 weeks, generator step up units at 144 weeks and interconnection queues averaging more than three years to agreement</t>
        </is>
      </c>
      <c r="D15" s="128" t="inlineStr">
        <is>
          <t>build.inc/insights/data-center-transformer-procurement-2026</t>
        </is>
      </c>
    </row>
    <row r="16" ht="46" customHeight="1">
      <c r="B16" s="129" t="inlineStr">
        <is>
          <t>CNBC and Data Center Knowledge, December 2025 and 2026</t>
        </is>
      </c>
      <c r="C16" s="130" t="inlineStr">
        <is>
          <t>113 global data center transactions in 2025 totalling more than $69B, a record, and forward EBITDA multiples spanning 8x to 19x with a median near 11.5x across the broader universe</t>
        </is>
      </c>
      <c r="D16" s="131" t="inlineStr">
        <is>
          <t>cnbc.com and datacenterknowledge.com</t>
        </is>
      </c>
    </row>
    <row r="18" ht="17" customHeight="1">
      <c r="B18" s="10" t="inlineStr">
        <is>
          <t>B.  LIMITATIONS AND ITEMS REQUIRING DILIGENCE BEFORE DISTRIBUTION</t>
        </is>
      </c>
      <c r="C18" s="10" t="n"/>
      <c r="D18" s="10" t="n"/>
    </row>
    <row r="19" ht="28" customHeight="1">
      <c r="B19" s="11" t="inlineStr">
        <is>
          <t>Item</t>
        </is>
      </c>
      <c r="C19" s="11" t="inlineStr">
        <is>
          <t>Limitation</t>
        </is>
      </c>
      <c r="D19" s="11" t="inlineStr"/>
    </row>
    <row r="20" ht="58" customHeight="1">
      <c r="B20" s="132" t="inlineStr">
        <is>
          <t>Public comparable market data</t>
        </is>
      </c>
      <c r="C20" s="30" t="inlineStr">
        <is>
          <t>Market capitalization, net debt and EBITDA on the Public Comps tab are estimates compiled from public reporting on the dates footnoted. Refresh every figure from FactSet or Bloomberg before the page goes to an investor.</t>
        </is>
      </c>
      <c r="D20" s="133" t="n"/>
    </row>
    <row r="21" ht="58" customHeight="1">
      <c r="B21" s="134" t="inlineStr">
        <is>
          <t>Operating versus secured capacity</t>
        </is>
      </c>
      <c r="C21" s="130" t="inlineStr">
        <is>
          <t>Capacity splits for private targets and several listed owners are estimated, because operators disclose total portfolios far more consistently than they disclose energized critical load. Every dollar per megawatt figure moves materially with this denominator.</t>
        </is>
      </c>
      <c r="D21" s="113" t="n"/>
    </row>
    <row r="22" ht="58" customHeight="1">
      <c r="B22" s="132" t="inlineStr">
        <is>
          <t>Precedent transaction multiples</t>
        </is>
      </c>
      <c r="C22" s="30" t="inlineStr">
        <is>
          <t>EBITDA multiples for the platform transactions are forward multiples drawn from press reporting at announcement rather than from confirmed financials.</t>
        </is>
      </c>
      <c r="D22" s="133" t="n"/>
    </row>
    <row r="23" ht="58" customHeight="1">
      <c r="B23" s="134" t="inlineStr">
        <is>
          <t>Lease rate assumption</t>
        </is>
      </c>
      <c r="C23" s="130" t="inlineStr">
        <is>
          <t>The stabilized rate of $165 per kW per month is a management assumption benchmarked to reported H1 2026 pricing momentum for blocks above 10 MW. It is not a quoted rate for any specific market and should be validated market by market.</t>
        </is>
      </c>
      <c r="D23" s="113" t="n"/>
    </row>
    <row r="24" ht="58" customHeight="1">
      <c r="B24" s="132" t="inlineStr">
        <is>
          <t>Demand model construction</t>
        </is>
      </c>
      <c r="C24" s="30" t="inlineStr">
        <is>
          <t>The demand path converts committed capital into megawatts at a single cost per MW and a single infrastructure share of capital expenditure. It is a sizing framework rather than a forecast, and both drivers are green input cells that should be flexed.</t>
        </is>
      </c>
      <c r="D24" s="133" t="n"/>
    </row>
    <row r="25" ht="58" customHeight="1">
      <c r="B25" s="134" t="inlineStr">
        <is>
          <t>Value creation figure</t>
        </is>
      </c>
      <c r="C25" s="130" t="inlineStr">
        <is>
          <t>Gross value creation is stated before capitalized interest, financing fees, developer overhead, taxes and promote, and assumes full leaseup with no vacancy allowance. It is the upper bound of the opportunity.</t>
        </is>
      </c>
      <c r="D25" s="113" t="n"/>
    </row>
    <row r="26" ht="58" customHeight="1">
      <c r="B26" s="132" t="inlineStr">
        <is>
          <t>Geographic scope</t>
        </is>
      </c>
      <c r="C26" s="30" t="inlineStr">
        <is>
          <t>The market sizing is United States only. Site selection, power market, tax abatement and water availability analysis are not included and are the natural next workstream.</t>
        </is>
      </c>
      <c r="D26" s="133" t="n"/>
    </row>
    <row r="28" ht="17" customHeight="1">
      <c r="B28" s="70" t="inlineStr">
        <is>
          <t>CONFIDENTIAL   |   FOR DISCUSSION PURPOSES ONLY   |   NOT AN OFFER TO SELL OR A SOLICITATION OF AN OFFER TO BUY SECURITIES</t>
        </is>
      </c>
      <c r="C28" s="1" t="n"/>
      <c r="D28" s="1" t="n"/>
    </row>
  </sheetData>
  <pageMargins left="0.75" right="0.75" top="1" bottom="1" header="0.5" footer="0.5"/>
  <pageSetup orientation="landscape" fitToHeight="0" fitToWidth="1"/>
  <headerFooter>
    <oddHeader/>
    <oddFooter>&amp;L&amp;6 &amp;K9AA0A8CONFIDENTIAL   |   FOR DISCUSSION PURPOSES ONLY   |   NOT AN OFFER TO SELL OR A SOLICITATION OF AN OFFER TO BUY SECURITIES&amp;R&amp;6 &amp;K9AA0A8Page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2026-09-23T20:04:09Z</dcterms:created>
  <dcterms:modified xsi:type="dcterms:W3CDTF">2026-09-23T20:04:09Z</dcterms:modified>
</cp:coreProperties>
</file>