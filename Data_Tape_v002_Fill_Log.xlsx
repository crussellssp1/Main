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led Cells" sheetId="1" state="visible" r:id="rId1"/>
    <sheet xmlns:r="http://schemas.openxmlformats.org/officeDocument/2006/relationships" name="Ope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0" customWidth="1" min="4" max="4"/>
    <col width="120" customWidth="1" min="5" max="5"/>
  </cols>
  <sheetData>
    <row r="1">
      <c r="A1" s="1" t="inlineStr">
        <is>
          <t>Tab</t>
        </is>
      </c>
      <c r="B1" s="1" t="inlineStr">
        <is>
          <t>Cell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Source / Basis</t>
        </is>
      </c>
    </row>
    <row r="2">
      <c r="A2" s="2" t="inlineStr">
        <is>
          <t>Loan Data</t>
        </is>
      </c>
      <c r="B2" s="2" t="inlineStr">
        <is>
          <t>DB4</t>
        </is>
      </c>
      <c r="C2" s="2" t="n">
        <v>8854232</v>
      </c>
      <c r="D2" s="2" t="inlineStr">
        <is>
          <t>Sourced</t>
        </is>
      </c>
      <c r="E2" s="3" t="inlineStr">
        <is>
          <t>ABF_2026Q3_PortfolioReview_vF.pdf, Project Royale NOI table (SSP In-Place / Original UW 2026 / Projected at Exit 2027); DSCR on senior loan incl. cap; Original UW column excludes prior releases</t>
        </is>
      </c>
    </row>
    <row r="3">
      <c r="A3" s="4" t="inlineStr">
        <is>
          <t>Loan Data</t>
        </is>
      </c>
      <c r="B3" s="4" t="inlineStr">
        <is>
          <t>DC4</t>
        </is>
      </c>
      <c r="C3" s="4" t="n">
        <v>1.66</v>
      </c>
      <c r="D3" s="4" t="inlineStr">
        <is>
          <t>Sourced</t>
        </is>
      </c>
      <c r="E3" s="5" t="inlineStr">
        <is>
          <t>ABF_2026Q3_PortfolioReview_vF.pdf, Project Royale NOI table (SSP In-Place / Original UW 2026 / Projected at Exit 2027); DSCR on senior loan incl. cap; Original UW column excludes prior releases</t>
        </is>
      </c>
    </row>
    <row r="4">
      <c r="A4" s="2" t="inlineStr">
        <is>
          <t>Loan Data</t>
        </is>
      </c>
      <c r="B4" s="2" t="inlineStr">
        <is>
          <t>DD4</t>
        </is>
      </c>
      <c r="C4" s="2" t="n">
        <v>6466882</v>
      </c>
      <c r="D4" s="2" t="inlineStr">
        <is>
          <t>Sourced</t>
        </is>
      </c>
      <c r="E4" s="3" t="inlineStr">
        <is>
          <t>ABF_2026Q3_PortfolioReview_vF.pdf, Project Royale NOI table (SSP In-Place / Original UW 2026 / Projected at Exit 2027); DSCR on senior loan incl. cap; Original UW column excludes prior releases</t>
        </is>
      </c>
    </row>
    <row r="5">
      <c r="A5" s="4" t="inlineStr">
        <is>
          <t>Loan Data</t>
        </is>
      </c>
      <c r="B5" s="4" t="inlineStr">
        <is>
          <t>DE4</t>
        </is>
      </c>
      <c r="C5" s="4" t="n">
        <v>1.23</v>
      </c>
      <c r="D5" s="4" t="inlineStr">
        <is>
          <t>Sourced</t>
        </is>
      </c>
      <c r="E5" s="5" t="inlineStr">
        <is>
          <t>ABF_2026Q3_PortfolioReview_vF.pdf, Project Royale NOI table (SSP In-Place / Original UW 2026 / Projected at Exit 2027); DSCR on senior loan incl. cap; Original UW column excludes prior releases</t>
        </is>
      </c>
    </row>
    <row r="6">
      <c r="A6" s="2" t="inlineStr">
        <is>
          <t>Loan Data</t>
        </is>
      </c>
      <c r="B6" s="2" t="inlineStr">
        <is>
          <t>DF4</t>
        </is>
      </c>
      <c r="C6" s="2" t="n">
        <v>6746117</v>
      </c>
      <c r="D6" s="2" t="inlineStr">
        <is>
          <t>Sourced</t>
        </is>
      </c>
      <c r="E6" s="3" t="inlineStr">
        <is>
          <t>ABF_2026Q3_PortfolioReview_vF.pdf, Project Royale NOI table (SSP In-Place / Original UW 2026 / Projected at Exit 2027); DSCR on senior loan incl. cap; Original UW column excludes prior releases</t>
        </is>
      </c>
    </row>
    <row r="7">
      <c r="A7" s="4" t="inlineStr">
        <is>
          <t>Loan Data</t>
        </is>
      </c>
      <c r="B7" s="4" t="inlineStr">
        <is>
          <t>DG4</t>
        </is>
      </c>
      <c r="C7" s="4" t="n">
        <v>1.28</v>
      </c>
      <c r="D7" s="4" t="inlineStr">
        <is>
          <t>Sourced</t>
        </is>
      </c>
      <c r="E7" s="5" t="inlineStr">
        <is>
          <t>ABF_2026Q3_PortfolioReview_vF.pdf, Project Royale NOI table (SSP In-Place / Original UW 2026 / Projected at Exit 2027); DSCR on senior loan incl. cap; Original UW column excludes prior releases</t>
        </is>
      </c>
    </row>
    <row r="8">
      <c r="A8" s="2" t="inlineStr">
        <is>
          <t>Loan Data</t>
        </is>
      </c>
      <c r="B8" s="2" t="inlineStr">
        <is>
          <t>DB5</t>
        </is>
      </c>
      <c r="C8" s="2" t="n">
        <v>7427640</v>
      </c>
      <c r="D8" s="2" t="inlineStr">
        <is>
          <t>Sourced</t>
        </is>
      </c>
      <c r="E8" s="3" t="inlineStr">
        <is>
          <t>ABF_2026Q3_PortfolioReview_vF.pdf, Lakefront North NOI table (SSP In-Place / Original UW 2023 / Projected at Exit 2032); $50M loan, no cap</t>
        </is>
      </c>
    </row>
    <row r="9">
      <c r="A9" s="4" t="inlineStr">
        <is>
          <t>Loan Data</t>
        </is>
      </c>
      <c r="B9" s="4" t="inlineStr">
        <is>
          <t>DC5</t>
        </is>
      </c>
      <c r="C9" s="4" t="n">
        <v>2.17</v>
      </c>
      <c r="D9" s="4" t="inlineStr">
        <is>
          <t>Sourced</t>
        </is>
      </c>
      <c r="E9" s="5" t="inlineStr">
        <is>
          <t>ABF_2026Q3_PortfolioReview_vF.pdf, Lakefront North NOI table (SSP In-Place / Original UW 2023 / Projected at Exit 2032); $50M loan, no cap</t>
        </is>
      </c>
    </row>
    <row r="10">
      <c r="A10" s="2" t="inlineStr">
        <is>
          <t>Loan Data</t>
        </is>
      </c>
      <c r="B10" s="2" t="inlineStr">
        <is>
          <t>DD5</t>
        </is>
      </c>
      <c r="C10" s="2" t="n">
        <v>5449067</v>
      </c>
      <c r="D10" s="2" t="inlineStr">
        <is>
          <t>Sourced</t>
        </is>
      </c>
      <c r="E10" s="3" t="inlineStr">
        <is>
          <t>ABF_2026Q3_PortfolioReview_vF.pdf, Lakefront North NOI table (SSP In-Place / Original UW 2023 / Projected at Exit 2032); $50M loan, no cap</t>
        </is>
      </c>
    </row>
    <row r="11">
      <c r="A11" s="4" t="inlineStr">
        <is>
          <t>Loan Data</t>
        </is>
      </c>
      <c r="B11" s="4" t="inlineStr">
        <is>
          <t>DE5</t>
        </is>
      </c>
      <c r="C11" s="4" t="n">
        <v>1.48</v>
      </c>
      <c r="D11" s="4" t="inlineStr">
        <is>
          <t>Sourced</t>
        </is>
      </c>
      <c r="E11" s="5" t="inlineStr">
        <is>
          <t>ABF_2026Q3_PortfolioReview_vF.pdf, Lakefront North NOI table (SSP In-Place / Original UW 2023 / Projected at Exit 2032); $50M loan, no cap</t>
        </is>
      </c>
    </row>
    <row r="12">
      <c r="A12" s="2" t="inlineStr">
        <is>
          <t>Loan Data</t>
        </is>
      </c>
      <c r="B12" s="2" t="inlineStr">
        <is>
          <t>DF5</t>
        </is>
      </c>
      <c r="C12" s="2" t="n">
        <v>6899903</v>
      </c>
      <c r="D12" s="2" t="inlineStr">
        <is>
          <t>Sourced</t>
        </is>
      </c>
      <c r="E12" s="3" t="inlineStr">
        <is>
          <t>ABF_2026Q3_PortfolioReview_vF.pdf, Lakefront North NOI table (SSP In-Place / Original UW 2023 / Projected at Exit 2032); $50M loan, no cap</t>
        </is>
      </c>
    </row>
    <row r="13">
      <c r="A13" s="4" t="inlineStr">
        <is>
          <t>Loan Data</t>
        </is>
      </c>
      <c r="B13" s="4" t="inlineStr">
        <is>
          <t>DG5</t>
        </is>
      </c>
      <c r="C13" s="4" t="n">
        <v>2.02</v>
      </c>
      <c r="D13" s="4" t="inlineStr">
        <is>
          <t>Sourced</t>
        </is>
      </c>
      <c r="E13" s="5" t="inlineStr">
        <is>
          <t>ABF_2026Q3_PortfolioReview_vF.pdf, Lakefront North NOI table (SSP In-Place / Original UW 2023 / Projected at Exit 2032); $50M loan, no cap</t>
        </is>
      </c>
    </row>
    <row r="14">
      <c r="A14" s="2" t="inlineStr">
        <is>
          <t>Loan Data</t>
        </is>
      </c>
      <c r="B14" s="2" t="inlineStr">
        <is>
          <t>DB6</t>
        </is>
      </c>
      <c r="C14" s="2" t="n">
        <v>3221629</v>
      </c>
      <c r="D14" s="2" t="inlineStr">
        <is>
          <t>Sourced</t>
        </is>
      </c>
      <c r="E14" s="3" t="inlineStr">
        <is>
          <t>ABF_2026Q3_PortfolioReview_vF.pdf, Project Balboa NOI table (Gateway Plaza only); DSCR on $8.9M SSP A-Note (whole loan DSCR 2.83x / 2.63x / 2.69x)</t>
        </is>
      </c>
    </row>
    <row r="15">
      <c r="A15" s="4" t="inlineStr">
        <is>
          <t>Loan Data</t>
        </is>
      </c>
      <c r="B15" s="4" t="inlineStr">
        <is>
          <t>DC6</t>
        </is>
      </c>
      <c r="C15" s="4" t="n">
        <v>4.8</v>
      </c>
      <c r="D15" s="4" t="inlineStr">
        <is>
          <t>Sourced</t>
        </is>
      </c>
      <c r="E15" s="5" t="inlineStr">
        <is>
          <t>ABF_2026Q3_PortfolioReview_vF.pdf, Project Balboa NOI table (Gateway Plaza only); DSCR on $8.9M SSP A-Note (whole loan DSCR 2.83x / 2.63x / 2.69x)</t>
        </is>
      </c>
    </row>
    <row r="16">
      <c r="A16" s="2" t="inlineStr">
        <is>
          <t>Loan Data</t>
        </is>
      </c>
      <c r="B16" s="2" t="inlineStr">
        <is>
          <t>DD6</t>
        </is>
      </c>
      <c r="C16" s="2" t="n">
        <v>2988570</v>
      </c>
      <c r="D16" s="2" t="inlineStr">
        <is>
          <t>Sourced</t>
        </is>
      </c>
      <c r="E16" s="3" t="inlineStr">
        <is>
          <t>ABF_2026Q3_PortfolioReview_vF.pdf, Project Balboa NOI table (Gateway Plaza only); DSCR on $8.9M SSP A-Note (whole loan DSCR 2.83x / 2.63x / 2.69x)</t>
        </is>
      </c>
    </row>
    <row r="17">
      <c r="A17" s="4" t="inlineStr">
        <is>
          <t>Loan Data</t>
        </is>
      </c>
      <c r="B17" s="4" t="inlineStr">
        <is>
          <t>DE6</t>
        </is>
      </c>
      <c r="C17" s="4" t="n">
        <v>4.45</v>
      </c>
      <c r="D17" s="4" t="inlineStr">
        <is>
          <t>Sourced</t>
        </is>
      </c>
      <c r="E17" s="5" t="inlineStr">
        <is>
          <t>ABF_2026Q3_PortfolioReview_vF.pdf, Project Balboa NOI table (Gateway Plaza only); DSCR on $8.9M SSP A-Note (whole loan DSCR 2.83x / 2.63x / 2.69x)</t>
        </is>
      </c>
    </row>
    <row r="18">
      <c r="A18" s="2" t="inlineStr">
        <is>
          <t>Loan Data</t>
        </is>
      </c>
      <c r="B18" s="2" t="inlineStr">
        <is>
          <t>DF6</t>
        </is>
      </c>
      <c r="C18" s="2" t="n">
        <v>3053182</v>
      </c>
      <c r="D18" s="2" t="inlineStr">
        <is>
          <t>Sourced</t>
        </is>
      </c>
      <c r="E18" s="3" t="inlineStr">
        <is>
          <t>ABF_2026Q3_PortfolioReview_vF.pdf, Project Balboa NOI table (Gateway Plaza only); DSCR on $8.9M SSP A-Note (whole loan DSCR 2.83x / 2.63x / 2.69x)</t>
        </is>
      </c>
    </row>
    <row r="19">
      <c r="A19" s="4" t="inlineStr">
        <is>
          <t>Loan Data</t>
        </is>
      </c>
      <c r="B19" s="4" t="inlineStr">
        <is>
          <t>DG6</t>
        </is>
      </c>
      <c r="C19" s="4" t="n">
        <v>4.55</v>
      </c>
      <c r="D19" s="4" t="inlineStr">
        <is>
          <t>Sourced</t>
        </is>
      </c>
      <c r="E19" s="5" t="inlineStr">
        <is>
          <t>ABF_2026Q3_PortfolioReview_vF.pdf, Project Balboa NOI table (Gateway Plaza only); DSCR on $8.9M SSP A-Note (whole loan DSCR 2.83x / 2.63x / 2.69x)</t>
        </is>
      </c>
    </row>
    <row r="20">
      <c r="A20" s="2" t="inlineStr">
        <is>
          <t>Loan Data</t>
        </is>
      </c>
      <c r="B20" s="2" t="inlineStr">
        <is>
          <t>DB8</t>
        </is>
      </c>
      <c r="C20" s="2" t="n">
        <v>21702512</v>
      </c>
      <c r="D20" s="2" t="inlineStr">
        <is>
          <t>Sourced</t>
        </is>
      </c>
      <c r="E20" s="3" t="inlineStr">
        <is>
          <t>ABF_2026Q3_PortfolioReview_vF.pdf, Project Eyas NOI table; DSCR on $220.7M senior loan (whole loan 1.10x / 1.03x / 1.06x)</t>
        </is>
      </c>
    </row>
    <row r="21">
      <c r="A21" s="4" t="inlineStr">
        <is>
          <t>Loan Data</t>
        </is>
      </c>
      <c r="B21" s="4" t="inlineStr">
        <is>
          <t>DC8</t>
        </is>
      </c>
      <c r="C21" s="4" t="n">
        <v>1.48</v>
      </c>
      <c r="D21" s="4" t="inlineStr">
        <is>
          <t>Sourced</t>
        </is>
      </c>
      <c r="E21" s="5" t="inlineStr">
        <is>
          <t>ABF_2026Q3_PortfolioReview_vF.pdf, Project Eyas NOI table; DSCR on $220.7M senior loan (whole loan 1.10x / 1.03x / 1.06x)</t>
        </is>
      </c>
    </row>
    <row r="22">
      <c r="A22" s="2" t="inlineStr">
        <is>
          <t>Loan Data</t>
        </is>
      </c>
      <c r="B22" s="2" t="inlineStr">
        <is>
          <t>DD8</t>
        </is>
      </c>
      <c r="C22" s="2" t="n">
        <v>20364070</v>
      </c>
      <c r="D22" s="2" t="inlineStr">
        <is>
          <t>Sourced</t>
        </is>
      </c>
      <c r="E22" s="3" t="inlineStr">
        <is>
          <t>ABF_2026Q3_PortfolioReview_vF.pdf, Project Eyas NOI table; DSCR on $220.7M senior loan (whole loan 1.10x / 1.03x / 1.06x)</t>
        </is>
      </c>
    </row>
    <row r="23">
      <c r="A23" s="4" t="inlineStr">
        <is>
          <t>Loan Data</t>
        </is>
      </c>
      <c r="B23" s="4" t="inlineStr">
        <is>
          <t>DE8</t>
        </is>
      </c>
      <c r="C23" s="4" t="n">
        <v>1.39</v>
      </c>
      <c r="D23" s="4" t="inlineStr">
        <is>
          <t>Sourced</t>
        </is>
      </c>
      <c r="E23" s="5" t="inlineStr">
        <is>
          <t>ABF_2026Q3_PortfolioReview_vF.pdf, Project Eyas NOI table; DSCR on $220.7M senior loan (whole loan 1.10x / 1.03x / 1.06x)</t>
        </is>
      </c>
    </row>
    <row r="24">
      <c r="A24" s="2" t="inlineStr">
        <is>
          <t>Loan Data</t>
        </is>
      </c>
      <c r="B24" s="2" t="inlineStr">
        <is>
          <t>DF8</t>
        </is>
      </c>
      <c r="C24" s="2" t="n">
        <v>20974992</v>
      </c>
      <c r="D24" s="2" t="inlineStr">
        <is>
          <t>Sourced</t>
        </is>
      </c>
      <c r="E24" s="3" t="inlineStr">
        <is>
          <t>ABF_2026Q3_PortfolioReview_vF.pdf, Project Eyas NOI table; DSCR on $220.7M senior loan (whole loan 1.10x / 1.03x / 1.06x)</t>
        </is>
      </c>
    </row>
    <row r="25">
      <c r="A25" s="4" t="inlineStr">
        <is>
          <t>Loan Data</t>
        </is>
      </c>
      <c r="B25" s="4" t="inlineStr">
        <is>
          <t>DG8</t>
        </is>
      </c>
      <c r="C25" s="4" t="n">
        <v>1.43</v>
      </c>
      <c r="D25" s="4" t="inlineStr">
        <is>
          <t>Sourced</t>
        </is>
      </c>
      <c r="E25" s="5" t="inlineStr">
        <is>
          <t>ABF_2026Q3_PortfolioReview_vF.pdf, Project Eyas NOI table; DSCR on $220.7M senior loan (whole loan 1.10x / 1.03x / 1.06x)</t>
        </is>
      </c>
    </row>
    <row r="26">
      <c r="A26" s="2" t="inlineStr">
        <is>
          <t>Loan Data</t>
        </is>
      </c>
      <c r="B26" s="2" t="inlineStr">
        <is>
          <t>DB9</t>
        </is>
      </c>
      <c r="C26" s="2" t="n">
        <v>17503043</v>
      </c>
      <c r="D26" s="2" t="inlineStr">
        <is>
          <t>Sourced</t>
        </is>
      </c>
      <c r="E26" s="3" t="inlineStr">
        <is>
          <t>ABF_2026Q3_PortfolioReview_vF.pdf, Project Stripe NOI table; no Projected at Exit column, Trended = SSP Updated UW 2027; DSCR on senior loan incl. cap</t>
        </is>
      </c>
    </row>
    <row r="27">
      <c r="A27" s="4" t="inlineStr">
        <is>
          <t>Loan Data</t>
        </is>
      </c>
      <c r="B27" s="4" t="inlineStr">
        <is>
          <t>DC9</t>
        </is>
      </c>
      <c r="C27" s="4" t="n">
        <v>1.02</v>
      </c>
      <c r="D27" s="4" t="inlineStr">
        <is>
          <t>Sourced</t>
        </is>
      </c>
      <c r="E27" s="5" t="inlineStr">
        <is>
          <t>ABF_2026Q3_PortfolioReview_vF.pdf, Project Stripe NOI table; no Projected at Exit column, Trended = SSP Updated UW 2027; DSCR on senior loan incl. cap</t>
        </is>
      </c>
    </row>
    <row r="28">
      <c r="A28" s="2" t="inlineStr">
        <is>
          <t>Loan Data</t>
        </is>
      </c>
      <c r="B28" s="2" t="inlineStr">
        <is>
          <t>DD9</t>
        </is>
      </c>
      <c r="C28" s="2" t="n">
        <v>26217018</v>
      </c>
      <c r="D28" s="2" t="inlineStr">
        <is>
          <t>Sourced</t>
        </is>
      </c>
      <c r="E28" s="3" t="inlineStr">
        <is>
          <t>ABF_2026Q3_PortfolioReview_vF.pdf, Project Stripe NOI table; no Projected at Exit column, Trended = SSP Updated UW 2027; DSCR on senior loan incl. cap</t>
        </is>
      </c>
    </row>
    <row r="29">
      <c r="A29" s="4" t="inlineStr">
        <is>
          <t>Loan Data</t>
        </is>
      </c>
      <c r="B29" s="4" t="inlineStr">
        <is>
          <t>DE9</t>
        </is>
      </c>
      <c r="C29" s="4" t="n">
        <v>1.47</v>
      </c>
      <c r="D29" s="4" t="inlineStr">
        <is>
          <t>Sourced</t>
        </is>
      </c>
      <c r="E29" s="5" t="inlineStr">
        <is>
          <t>ABF_2026Q3_PortfolioReview_vF.pdf, Project Stripe NOI table; no Projected at Exit column, Trended = SSP Updated UW 2027; DSCR on senior loan incl. cap</t>
        </is>
      </c>
    </row>
    <row r="30">
      <c r="A30" s="2" t="inlineStr">
        <is>
          <t>Loan Data</t>
        </is>
      </c>
      <c r="B30" s="2" t="inlineStr">
        <is>
          <t>DF9</t>
        </is>
      </c>
      <c r="C30" s="2" t="n">
        <v>18331454</v>
      </c>
      <c r="D30" s="6" t="inlineStr">
        <is>
          <t>Verify</t>
        </is>
      </c>
      <c r="E30" s="3" t="inlineStr">
        <is>
          <t>ABF_2026Q3_PortfolioReview_vF.pdf, Project Stripe NOI table; no Projected at Exit column, Trended = SSP Updated UW 2027; DSCR on senior loan incl. cap</t>
        </is>
      </c>
    </row>
    <row r="31">
      <c r="A31" s="4" t="inlineStr">
        <is>
          <t>Loan Data</t>
        </is>
      </c>
      <c r="B31" s="4" t="inlineStr">
        <is>
          <t>DG9</t>
        </is>
      </c>
      <c r="C31" s="4" t="n">
        <v>1.06</v>
      </c>
      <c r="D31" s="6" t="inlineStr">
        <is>
          <t>Verify</t>
        </is>
      </c>
      <c r="E31" s="5" t="inlineStr">
        <is>
          <t>ABF_2026Q3_PortfolioReview_vF.pdf, Project Stripe NOI table; no Projected at Exit column, Trended = SSP Updated UW 2027; DSCR on senior loan incl. cap</t>
        </is>
      </c>
    </row>
    <row r="32">
      <c r="A32" s="2" t="inlineStr">
        <is>
          <t>Loan Data</t>
        </is>
      </c>
      <c r="B32" s="2" t="inlineStr">
        <is>
          <t>DB10</t>
        </is>
      </c>
      <c r="C32" s="2" t="n">
        <v>14425125</v>
      </c>
      <c r="D32" s="2" t="inlineStr">
        <is>
          <t>Sourced</t>
        </is>
      </c>
      <c r="E32" s="3" t="inlineStr">
        <is>
          <t>ABF_2026Q3_PortfolioReview_vF.pdf, Project Bellevue NOI table; DSCR on senior loan</t>
        </is>
      </c>
    </row>
    <row r="33">
      <c r="A33" s="4" t="inlineStr">
        <is>
          <t>Loan Data</t>
        </is>
      </c>
      <c r="B33" s="4" t="inlineStr">
        <is>
          <t>DC10</t>
        </is>
      </c>
      <c r="C33" s="4" t="n">
        <v>1.26</v>
      </c>
      <c r="D33" s="4" t="inlineStr">
        <is>
          <t>Sourced</t>
        </is>
      </c>
      <c r="E33" s="5" t="inlineStr">
        <is>
          <t>ABF_2026Q3_PortfolioReview_vF.pdf, Project Bellevue NOI table; DSCR on senior loan</t>
        </is>
      </c>
    </row>
    <row r="34">
      <c r="A34" s="2" t="inlineStr">
        <is>
          <t>Loan Data</t>
        </is>
      </c>
      <c r="B34" s="2" t="inlineStr">
        <is>
          <t>DD10</t>
        </is>
      </c>
      <c r="C34" s="2" t="n">
        <v>18450583</v>
      </c>
      <c r="D34" s="2" t="inlineStr">
        <is>
          <t>Sourced</t>
        </is>
      </c>
      <c r="E34" s="3" t="inlineStr">
        <is>
          <t>ABF_2026Q3_PortfolioReview_vF.pdf, Project Bellevue NOI table; DSCR on senior loan</t>
        </is>
      </c>
    </row>
    <row r="35">
      <c r="A35" s="4" t="inlineStr">
        <is>
          <t>Loan Data</t>
        </is>
      </c>
      <c r="B35" s="4" t="inlineStr">
        <is>
          <t>DE10</t>
        </is>
      </c>
      <c r="C35" s="4" t="n">
        <v>1.62</v>
      </c>
      <c r="D35" s="4" t="inlineStr">
        <is>
          <t>Sourced</t>
        </is>
      </c>
      <c r="E35" s="5" t="inlineStr">
        <is>
          <t>ABF_2026Q3_PortfolioReview_vF.pdf, Project Bellevue NOI table; DSCR on senior loan</t>
        </is>
      </c>
    </row>
    <row r="36">
      <c r="A36" s="2" t="inlineStr">
        <is>
          <t>Loan Data</t>
        </is>
      </c>
      <c r="B36" s="2" t="inlineStr">
        <is>
          <t>DF10</t>
        </is>
      </c>
      <c r="C36" s="2" t="n">
        <v>19148800</v>
      </c>
      <c r="D36" s="2" t="inlineStr">
        <is>
          <t>Sourced</t>
        </is>
      </c>
      <c r="E36" s="3" t="inlineStr">
        <is>
          <t>ABF_2026Q3_PortfolioReview_vF.pdf, Project Bellevue NOI table; DSCR on senior loan</t>
        </is>
      </c>
    </row>
    <row r="37">
      <c r="A37" s="4" t="inlineStr">
        <is>
          <t>Loan Data</t>
        </is>
      </c>
      <c r="B37" s="4" t="inlineStr">
        <is>
          <t>DG10</t>
        </is>
      </c>
      <c r="C37" s="4" t="n">
        <v>1.52</v>
      </c>
      <c r="D37" s="4" t="inlineStr">
        <is>
          <t>Sourced</t>
        </is>
      </c>
      <c r="E37" s="5" t="inlineStr">
        <is>
          <t>ABF_2026Q3_PortfolioReview_vF.pdf, Project Bellevue NOI table; DSCR on senior loan</t>
        </is>
      </c>
    </row>
    <row r="38">
      <c r="A38" s="2" t="inlineStr">
        <is>
          <t>Loan Data</t>
        </is>
      </c>
      <c r="B38" s="2" t="inlineStr">
        <is>
          <t>DB11</t>
        </is>
      </c>
      <c r="C38" s="2" t="n">
        <v>2870914</v>
      </c>
      <c r="D38" s="2" t="inlineStr">
        <is>
          <t>Sourced</t>
        </is>
      </c>
      <c r="E38" s="3" t="inlineStr">
        <is>
          <t>ABF_2026Q3_PortfolioReview_vF.pdf, Fayetteville 2-Pack NOI table; SSP loan = whole loan ($40M, 6.31% fixed)</t>
        </is>
      </c>
    </row>
    <row r="39">
      <c r="A39" s="4" t="inlineStr">
        <is>
          <t>Loan Data</t>
        </is>
      </c>
      <c r="B39" s="4" t="inlineStr">
        <is>
          <t>DC11</t>
        </is>
      </c>
      <c r="C39" s="4" t="n">
        <v>1.12</v>
      </c>
      <c r="D39" s="4" t="inlineStr">
        <is>
          <t>Sourced</t>
        </is>
      </c>
      <c r="E39" s="5" t="inlineStr">
        <is>
          <t>ABF_2026Q3_PortfolioReview_vF.pdf, Fayetteville 2-Pack NOI table; SSP loan = whole loan ($40M, 6.31% fixed)</t>
        </is>
      </c>
    </row>
    <row r="40">
      <c r="A40" s="2" t="inlineStr">
        <is>
          <t>Loan Data</t>
        </is>
      </c>
      <c r="B40" s="2" t="inlineStr">
        <is>
          <t>DD11</t>
        </is>
      </c>
      <c r="C40" s="2" t="n">
        <v>3244720</v>
      </c>
      <c r="D40" s="2" t="inlineStr">
        <is>
          <t>Sourced</t>
        </is>
      </c>
      <c r="E40" s="3" t="inlineStr">
        <is>
          <t>ABF_2026Q3_PortfolioReview_vF.pdf, Fayetteville 2-Pack NOI table; SSP loan = whole loan ($40M, 6.31% fixed)</t>
        </is>
      </c>
    </row>
    <row r="41">
      <c r="A41" s="4" t="inlineStr">
        <is>
          <t>Loan Data</t>
        </is>
      </c>
      <c r="B41" s="4" t="inlineStr">
        <is>
          <t>DE11</t>
        </is>
      </c>
      <c r="C41" s="4" t="n">
        <v>1.27</v>
      </c>
      <c r="D41" s="4" t="inlineStr">
        <is>
          <t>Sourced</t>
        </is>
      </c>
      <c r="E41" s="5" t="inlineStr">
        <is>
          <t>ABF_2026Q3_PortfolioReview_vF.pdf, Fayetteville 2-Pack NOI table; SSP loan = whole loan ($40M, 6.31% fixed)</t>
        </is>
      </c>
    </row>
    <row r="42">
      <c r="A42" s="2" t="inlineStr">
        <is>
          <t>Loan Data</t>
        </is>
      </c>
      <c r="B42" s="2" t="inlineStr">
        <is>
          <t>DF11</t>
        </is>
      </c>
      <c r="C42" s="2" t="n">
        <v>3681353</v>
      </c>
      <c r="D42" s="2" t="inlineStr">
        <is>
          <t>Sourced</t>
        </is>
      </c>
      <c r="E42" s="3" t="inlineStr">
        <is>
          <t>ABF_2026Q3_PortfolioReview_vF.pdf, Fayetteville 2-Pack NOI table; SSP loan = whole loan ($40M, 6.31% fixed)</t>
        </is>
      </c>
    </row>
    <row r="43">
      <c r="A43" s="4" t="inlineStr">
        <is>
          <t>Loan Data</t>
        </is>
      </c>
      <c r="B43" s="4" t="inlineStr">
        <is>
          <t>DG11</t>
        </is>
      </c>
      <c r="C43" s="4" t="n">
        <v>1.44</v>
      </c>
      <c r="D43" s="4" t="inlineStr">
        <is>
          <t>Sourced</t>
        </is>
      </c>
      <c r="E43" s="5" t="inlineStr">
        <is>
          <t>ABF_2026Q3_PortfolioReview_vF.pdf, Fayetteville 2-Pack NOI table; SSP loan = whole loan ($40M, 6.31% fixed)</t>
        </is>
      </c>
    </row>
    <row r="44">
      <c r="A44" s="2" t="inlineStr">
        <is>
          <t>Loan Data</t>
        </is>
      </c>
      <c r="B44" s="2" t="inlineStr">
        <is>
          <t>DB12</t>
        </is>
      </c>
      <c r="C44" s="2" t="n">
        <v>4166860</v>
      </c>
      <c r="D44" s="2" t="inlineStr">
        <is>
          <t>Sourced</t>
        </is>
      </c>
      <c r="E44" s="3" t="inlineStr">
        <is>
          <t>ABF_2026Q3_PortfolioReview_vF.pdf, Mosaic Apartments NOI table; SSP loan = whole loan ($48.4M, 6.31% fixed)</t>
        </is>
      </c>
    </row>
    <row r="45">
      <c r="A45" s="4" t="inlineStr">
        <is>
          <t>Loan Data</t>
        </is>
      </c>
      <c r="B45" s="4" t="inlineStr">
        <is>
          <t>DC12</t>
        </is>
      </c>
      <c r="C45" s="4" t="n">
        <v>1.35</v>
      </c>
      <c r="D45" s="4" t="inlineStr">
        <is>
          <t>Sourced</t>
        </is>
      </c>
      <c r="E45" s="5" t="inlineStr">
        <is>
          <t>ABF_2026Q3_PortfolioReview_vF.pdf, Mosaic Apartments NOI table; SSP loan = whole loan ($48.4M, 6.31% fixed)</t>
        </is>
      </c>
    </row>
    <row r="46">
      <c r="A46" s="2" t="inlineStr">
        <is>
          <t>Loan Data</t>
        </is>
      </c>
      <c r="B46" s="2" t="inlineStr">
        <is>
          <t>DD12</t>
        </is>
      </c>
      <c r="C46" s="2" t="n">
        <v>4081045</v>
      </c>
      <c r="D46" s="2" t="inlineStr">
        <is>
          <t>Sourced</t>
        </is>
      </c>
      <c r="E46" s="3" t="inlineStr">
        <is>
          <t>ABF_2026Q3_PortfolioReview_vF.pdf, Mosaic Apartments NOI table; SSP loan = whole loan ($48.4M, 6.31% fixed)</t>
        </is>
      </c>
    </row>
    <row r="47">
      <c r="A47" s="4" t="inlineStr">
        <is>
          <t>Loan Data</t>
        </is>
      </c>
      <c r="B47" s="4" t="inlineStr">
        <is>
          <t>DE12</t>
        </is>
      </c>
      <c r="C47" s="4" t="n">
        <v>1.32</v>
      </c>
      <c r="D47" s="4" t="inlineStr">
        <is>
          <t>Sourced</t>
        </is>
      </c>
      <c r="E47" s="5" t="inlineStr">
        <is>
          <t>ABF_2026Q3_PortfolioReview_vF.pdf, Mosaic Apartments NOI table; SSP loan = whole loan ($48.4M, 6.31% fixed)</t>
        </is>
      </c>
    </row>
    <row r="48">
      <c r="A48" s="2" t="inlineStr">
        <is>
          <t>Loan Data</t>
        </is>
      </c>
      <c r="B48" s="2" t="inlineStr">
        <is>
          <t>DF12</t>
        </is>
      </c>
      <c r="C48" s="2" t="n">
        <v>4635072</v>
      </c>
      <c r="D48" s="2" t="inlineStr">
        <is>
          <t>Sourced</t>
        </is>
      </c>
      <c r="E48" s="3" t="inlineStr">
        <is>
          <t>ABF_2026Q3_PortfolioReview_vF.pdf, Mosaic Apartments NOI table; SSP loan = whole loan ($48.4M, 6.31% fixed)</t>
        </is>
      </c>
    </row>
    <row r="49">
      <c r="A49" s="4" t="inlineStr">
        <is>
          <t>Loan Data</t>
        </is>
      </c>
      <c r="B49" s="4" t="inlineStr">
        <is>
          <t>DG12</t>
        </is>
      </c>
      <c r="C49" s="4" t="n">
        <v>1.5</v>
      </c>
      <c r="D49" s="4" t="inlineStr">
        <is>
          <t>Sourced</t>
        </is>
      </c>
      <c r="E49" s="5" t="inlineStr">
        <is>
          <t>ABF_2026Q3_PortfolioReview_vF.pdf, Mosaic Apartments NOI table; SSP loan = whole loan ($48.4M, 6.31% fixed)</t>
        </is>
      </c>
    </row>
    <row r="50">
      <c r="A50" s="2" t="inlineStr">
        <is>
          <t>Loan Data</t>
        </is>
      </c>
      <c r="B50" s="2" t="inlineStr">
        <is>
          <t>DB13</t>
        </is>
      </c>
      <c r="C50" s="2" t="n">
        <v>3409941</v>
      </c>
      <c r="D50" s="2" t="inlineStr">
        <is>
          <t>Sourced</t>
        </is>
      </c>
      <c r="E50" s="3" t="inlineStr">
        <is>
          <t>ABF_2026Q3_PortfolioReview_vF.pdf, Arista Glendale NOI table; DSCR on $48M A-Note (whole loan 0.98x / 0.96x / 1.09x)</t>
        </is>
      </c>
    </row>
    <row r="51">
      <c r="A51" s="4" t="inlineStr">
        <is>
          <t>Loan Data</t>
        </is>
      </c>
      <c r="B51" s="4" t="inlineStr">
        <is>
          <t>DC13</t>
        </is>
      </c>
      <c r="C51" s="4" t="n">
        <v>1.14</v>
      </c>
      <c r="D51" s="4" t="inlineStr">
        <is>
          <t>Sourced</t>
        </is>
      </c>
      <c r="E51" s="5" t="inlineStr">
        <is>
          <t>ABF_2026Q3_PortfolioReview_vF.pdf, Arista Glendale NOI table; DSCR on $48M A-Note (whole loan 0.98x / 0.96x / 1.09x)</t>
        </is>
      </c>
    </row>
    <row r="52">
      <c r="A52" s="2" t="inlineStr">
        <is>
          <t>Loan Data</t>
        </is>
      </c>
      <c r="B52" s="2" t="inlineStr">
        <is>
          <t>DD13</t>
        </is>
      </c>
      <c r="C52" s="2" t="n">
        <v>3357417</v>
      </c>
      <c r="D52" s="2" t="inlineStr">
        <is>
          <t>Sourced</t>
        </is>
      </c>
      <c r="E52" s="3" t="inlineStr">
        <is>
          <t>ABF_2026Q3_PortfolioReview_vF.pdf, Arista Glendale NOI table; DSCR on $48M A-Note (whole loan 0.98x / 0.96x / 1.09x)</t>
        </is>
      </c>
    </row>
    <row r="53">
      <c r="A53" s="4" t="inlineStr">
        <is>
          <t>Loan Data</t>
        </is>
      </c>
      <c r="B53" s="4" t="inlineStr">
        <is>
          <t>DE13</t>
        </is>
      </c>
      <c r="C53" s="4" t="n">
        <v>1.12</v>
      </c>
      <c r="D53" s="4" t="inlineStr">
        <is>
          <t>Sourced</t>
        </is>
      </c>
      <c r="E53" s="5" t="inlineStr">
        <is>
          <t>ABF_2026Q3_PortfolioReview_vF.pdf, Arista Glendale NOI table; DSCR on $48M A-Note (whole loan 0.98x / 0.96x / 1.09x)</t>
        </is>
      </c>
    </row>
    <row r="54">
      <c r="A54" s="2" t="inlineStr">
        <is>
          <t>Loan Data</t>
        </is>
      </c>
      <c r="B54" s="2" t="inlineStr">
        <is>
          <t>DF13</t>
        </is>
      </c>
      <c r="C54" s="2" t="n">
        <v>3798609</v>
      </c>
      <c r="D54" s="2" t="inlineStr">
        <is>
          <t>Sourced</t>
        </is>
      </c>
      <c r="E54" s="3" t="inlineStr">
        <is>
          <t>ABF_2026Q3_PortfolioReview_vF.pdf, Arista Glendale NOI table; DSCR on $48M A-Note (whole loan 0.98x / 0.96x / 1.09x)</t>
        </is>
      </c>
    </row>
    <row r="55">
      <c r="A55" s="4" t="inlineStr">
        <is>
          <t>Loan Data</t>
        </is>
      </c>
      <c r="B55" s="4" t="inlineStr">
        <is>
          <t>DG13</t>
        </is>
      </c>
      <c r="C55" s="4" t="n">
        <v>1.27</v>
      </c>
      <c r="D55" s="4" t="inlineStr">
        <is>
          <t>Sourced</t>
        </is>
      </c>
      <c r="E55" s="5" t="inlineStr">
        <is>
          <t>ABF_2026Q3_PortfolioReview_vF.pdf, Arista Glendale NOI table; DSCR on $48M A-Note (whole loan 0.98x / 0.96x / 1.09x)</t>
        </is>
      </c>
    </row>
    <row r="56">
      <c r="A56" s="2" t="inlineStr">
        <is>
          <t>Loan Data</t>
        </is>
      </c>
      <c r="B56" s="2" t="inlineStr">
        <is>
          <t>DB14</t>
        </is>
      </c>
      <c r="C56" s="2" t="n">
        <v>-1507379</v>
      </c>
      <c r="D56" s="6" t="inlineStr">
        <is>
          <t>Verify</t>
        </is>
      </c>
      <c r="E56" s="3" t="inlineStr">
        <is>
          <t>ABF_2026Q3_PortfolioReview_vF.pdf p.437-438, Grand Bay (SSP UW 2026 = in-place, renovation disruption; SSP UW Stabilized 2028 = trended); NOI = net cash flow after FF&amp;E; whole loan DSCR. Untrended not published</t>
        </is>
      </c>
    </row>
    <row r="57">
      <c r="A57" s="4" t="inlineStr">
        <is>
          <t>Loan Data</t>
        </is>
      </c>
      <c r="B57" s="4" t="inlineStr">
        <is>
          <t>DC14</t>
        </is>
      </c>
      <c r="C57" s="4" t="n">
        <v>-0.27</v>
      </c>
      <c r="D57" s="4" t="inlineStr">
        <is>
          <t>Sourced</t>
        </is>
      </c>
      <c r="E57" s="5" t="inlineStr">
        <is>
          <t>ABF_2026Q3_PortfolioReview_vF.pdf p.437-438, Grand Bay (SSP UW 2026 = in-place, renovation disruption; SSP UW Stabilized 2028 = trended); NOI = net cash flow after FF&amp;E; whole loan DSCR. Untrended not published</t>
        </is>
      </c>
    </row>
    <row r="58">
      <c r="A58" s="2" t="inlineStr">
        <is>
          <t>Loan Data</t>
        </is>
      </c>
      <c r="B58" s="2" t="inlineStr">
        <is>
          <t>DF14</t>
        </is>
      </c>
      <c r="C58" s="2" t="n">
        <v>9029519</v>
      </c>
      <c r="D58" s="6" t="inlineStr">
        <is>
          <t>Verify</t>
        </is>
      </c>
      <c r="E58" s="3" t="inlineStr">
        <is>
          <t>ABF_2026Q3_PortfolioReview_vF.pdf p.437-438, Grand Bay (SSP UW 2026 = in-place, renovation disruption; SSP UW Stabilized 2028 = trended); NOI = net cash flow after FF&amp;E; whole loan DSCR. Untrended not published</t>
        </is>
      </c>
    </row>
    <row r="59">
      <c r="A59" s="4" t="inlineStr">
        <is>
          <t>Loan Data</t>
        </is>
      </c>
      <c r="B59" s="4" t="inlineStr">
        <is>
          <t>DG14</t>
        </is>
      </c>
      <c r="C59" s="4" t="n">
        <v>1.64</v>
      </c>
      <c r="D59" s="4" t="inlineStr">
        <is>
          <t>Sourced</t>
        </is>
      </c>
      <c r="E59" s="5" t="inlineStr">
        <is>
          <t>ABF_2026Q3_PortfolioReview_vF.pdf p.437-438, Grand Bay (SSP UW 2026 = in-place, renovation disruption; SSP UW Stabilized 2028 = trended); NOI = net cash flow after FF&amp;E; whole loan DSCR. Untrended not published</t>
        </is>
      </c>
    </row>
    <row r="60">
      <c r="A60" s="2" t="inlineStr">
        <is>
          <t>Loan Data</t>
        </is>
      </c>
      <c r="B60" s="2" t="inlineStr">
        <is>
          <t>DB15</t>
        </is>
      </c>
      <c r="C60" s="2" t="n">
        <v>22048694</v>
      </c>
      <c r="D60" s="2" t="inlineStr">
        <is>
          <t>Sourced</t>
        </is>
      </c>
      <c r="E60" s="3" t="inlineStr">
        <is>
          <t>Crystal Springs_IC Memo_vF.pdf p.35 (2025 NOI; SSP Stab. Untrended); DSCR on $131M SSP A-Note (whole loan 2.07x / 2.01x). Not in Q3 PR; trended not presented</t>
        </is>
      </c>
    </row>
    <row r="61">
      <c r="A61" s="4" t="inlineStr">
        <is>
          <t>Loan Data</t>
        </is>
      </c>
      <c r="B61" s="4" t="inlineStr">
        <is>
          <t>DC15</t>
        </is>
      </c>
      <c r="C61" s="4" t="n">
        <v>2.74</v>
      </c>
      <c r="D61" s="4" t="inlineStr">
        <is>
          <t>Sourced</t>
        </is>
      </c>
      <c r="E61" s="5" t="inlineStr">
        <is>
          <t>Crystal Springs_IC Memo_vF.pdf p.35 (2025 NOI; SSP Stab. Untrended); DSCR on $131M SSP A-Note (whole loan 2.07x / 2.01x). Not in Q3 PR; trended not presented</t>
        </is>
      </c>
    </row>
    <row r="62">
      <c r="A62" s="2" t="inlineStr">
        <is>
          <t>Loan Data</t>
        </is>
      </c>
      <c r="B62" s="2" t="inlineStr">
        <is>
          <t>DD15</t>
        </is>
      </c>
      <c r="C62" s="2" t="n">
        <v>21397628</v>
      </c>
      <c r="D62" s="2" t="inlineStr">
        <is>
          <t>Sourced</t>
        </is>
      </c>
      <c r="E62" s="3" t="inlineStr">
        <is>
          <t>Crystal Springs_IC Memo_vF.pdf p.35 (2025 NOI; SSP Stab. Untrended); DSCR on $131M SSP A-Note (whole loan 2.07x / 2.01x). Not in Q3 PR; trended not presented</t>
        </is>
      </c>
    </row>
    <row r="63">
      <c r="A63" s="4" t="inlineStr">
        <is>
          <t>Loan Data</t>
        </is>
      </c>
      <c r="B63" s="4" t="inlineStr">
        <is>
          <t>DE15</t>
        </is>
      </c>
      <c r="C63" s="4" t="n">
        <v>2.65</v>
      </c>
      <c r="D63" s="4" t="inlineStr">
        <is>
          <t>Sourced</t>
        </is>
      </c>
      <c r="E63" s="5" t="inlineStr">
        <is>
          <t>Crystal Springs_IC Memo_vF.pdf p.35 (2025 NOI; SSP Stab. Untrended); DSCR on $131M SSP A-Note (whole loan 2.07x / 2.01x). Not in Q3 PR; trended not presented</t>
        </is>
      </c>
    </row>
    <row r="64">
      <c r="A64" s="2" t="inlineStr">
        <is>
          <t>Loan Data</t>
        </is>
      </c>
      <c r="B64" s="2" t="inlineStr">
        <is>
          <t>DB16</t>
        </is>
      </c>
      <c r="C64" s="2" t="n">
        <v>3514296</v>
      </c>
      <c r="D64" s="2" t="inlineStr">
        <is>
          <t>Sourced</t>
        </is>
      </c>
      <c r="E64" s="3" t="inlineStr">
        <is>
          <t>Alpine Village_IC Memo_7.13.26.pdf slides 3 and 24 (in-place NOI at closing; IO DSCR 0.97x in-place, 1.12x untrended on $55M senior). Untrended NOI dollar figure is in an image (about $4.0M implied by 7.3% DY)</t>
        </is>
      </c>
    </row>
    <row r="65">
      <c r="A65" s="4" t="inlineStr">
        <is>
          <t>Loan Data</t>
        </is>
      </c>
      <c r="B65" s="4" t="inlineStr">
        <is>
          <t>DC16</t>
        </is>
      </c>
      <c r="C65" s="4" t="n">
        <v>0.97</v>
      </c>
      <c r="D65" s="4" t="inlineStr">
        <is>
          <t>Sourced</t>
        </is>
      </c>
      <c r="E65" s="5" t="inlineStr">
        <is>
          <t>Alpine Village_IC Memo_7.13.26.pdf slides 3 and 24 (in-place NOI at closing; IO DSCR 0.97x in-place, 1.12x untrended on $55M senior). Untrended NOI dollar figure is in an image (about $4.0M implied by 7.3% DY)</t>
        </is>
      </c>
    </row>
    <row r="66">
      <c r="A66" s="2" t="inlineStr">
        <is>
          <t>Loan Data</t>
        </is>
      </c>
      <c r="B66" s="2" t="inlineStr">
        <is>
          <t>DE16</t>
        </is>
      </c>
      <c r="C66" s="2" t="n">
        <v>1.12</v>
      </c>
      <c r="D66" s="2" t="inlineStr">
        <is>
          <t>Sourced</t>
        </is>
      </c>
      <c r="E66" s="3" t="inlineStr">
        <is>
          <t>Alpine Village_IC Memo_7.13.26.pdf slides 3 and 24 (in-place NOI at closing; IO DSCR 0.97x in-place, 1.12x untrended on $55M senior). Untrended NOI dollar figure is in an image (about $4.0M implied by 7.3% DY)</t>
        </is>
      </c>
    </row>
    <row r="67">
      <c r="A67" s="4" t="inlineStr">
        <is>
          <t>Loan Data</t>
        </is>
      </c>
      <c r="B67" s="4" t="inlineStr">
        <is>
          <t>DB17</t>
        </is>
      </c>
      <c r="C67" s="4" t="n">
        <v>53281279</v>
      </c>
      <c r="D67" s="4" t="inlineStr">
        <is>
          <t>Sourced</t>
        </is>
      </c>
      <c r="E67" s="5" t="inlineStr">
        <is>
          <t>Highland Portfolio IC Memo 7.26.2026.pdf (May-26 TTM NOI; TTM DSCR through mezz; NOI trended to YE2028). Trended DSCR derived: 57.3M / (53.28M / 1.12x)</t>
        </is>
      </c>
    </row>
    <row r="68">
      <c r="A68" s="2" t="inlineStr">
        <is>
          <t>Loan Data</t>
        </is>
      </c>
      <c r="B68" s="2" t="inlineStr">
        <is>
          <t>DC17</t>
        </is>
      </c>
      <c r="C68" s="2" t="n">
        <v>1.12</v>
      </c>
      <c r="D68" s="2" t="inlineStr">
        <is>
          <t>Sourced</t>
        </is>
      </c>
      <c r="E68" s="3" t="inlineStr">
        <is>
          <t>Highland Portfolio IC Memo 7.26.2026.pdf (May-26 TTM NOI; TTM DSCR through mezz; NOI trended to YE2028). Trended DSCR derived: 57.3M / (53.28M / 1.12x)</t>
        </is>
      </c>
    </row>
    <row r="69">
      <c r="A69" s="4" t="inlineStr">
        <is>
          <t>Loan Data</t>
        </is>
      </c>
      <c r="B69" s="4" t="inlineStr">
        <is>
          <t>DF17</t>
        </is>
      </c>
      <c r="C69" s="4" t="n">
        <v>57300000</v>
      </c>
      <c r="D69" s="4" t="inlineStr">
        <is>
          <t>Sourced</t>
        </is>
      </c>
      <c r="E69" s="5" t="inlineStr">
        <is>
          <t>Highland Portfolio IC Memo 7.26.2026.pdf (May-26 TTM NOI; TTM DSCR through mezz; NOI trended to YE2028). Trended DSCR derived: 57.3M / (53.28M / 1.12x)</t>
        </is>
      </c>
    </row>
    <row r="70">
      <c r="A70" s="2" t="inlineStr">
        <is>
          <t>Loan Data</t>
        </is>
      </c>
      <c r="B70" s="2" t="inlineStr">
        <is>
          <t>DG17</t>
        </is>
      </c>
      <c r="C70" s="2" t="n">
        <v>1.2</v>
      </c>
      <c r="D70" s="2" t="inlineStr">
        <is>
          <t>Derived</t>
        </is>
      </c>
      <c r="E70" s="3" t="inlineStr">
        <is>
          <t>Highland Portfolio IC Memo 7.26.2026.pdf (May-26 TTM NOI; TTM DSCR through mezz; NOI trended to YE2028). Trended DSCR derived: 57.3M / (53.28M / 1.12x)</t>
        </is>
      </c>
    </row>
    <row r="71">
      <c r="A71" s="4" t="inlineStr">
        <is>
          <t>Loan Data</t>
        </is>
      </c>
      <c r="B71" s="4" t="inlineStr">
        <is>
          <t>DB18</t>
        </is>
      </c>
      <c r="C71" s="4" t="n">
        <v>20701227</v>
      </c>
      <c r="D71" s="4" t="inlineStr">
        <is>
          <t>Sourced</t>
        </is>
      </c>
      <c r="E71" s="5" t="inlineStr">
        <is>
          <t>Prime Care Senior Financing_IC Memo_vF.pdf p.13-14 (in-place T-3; untrended as-if stabilized; SSP UW Year 3). IO DSCR on $205M senior. Untrended DSCR derived = 24.62M / (20.70M / 1.59x). Year 3 as Trended is a mapping judgment</t>
        </is>
      </c>
    </row>
    <row r="72">
      <c r="A72" s="2" t="inlineStr">
        <is>
          <t>Loan Data</t>
        </is>
      </c>
      <c r="B72" s="2" t="inlineStr">
        <is>
          <t>DC18</t>
        </is>
      </c>
      <c r="C72" s="2" t="n">
        <v>1.59</v>
      </c>
      <c r="D72" s="2" t="inlineStr">
        <is>
          <t>Sourced</t>
        </is>
      </c>
      <c r="E72" s="3" t="inlineStr">
        <is>
          <t>Prime Care Senior Financing_IC Memo_vF.pdf p.13-14 (in-place T-3; untrended as-if stabilized; SSP UW Year 3). IO DSCR on $205M senior. Untrended DSCR derived = 24.62M / (20.70M / 1.59x). Year 3 as Trended is a mapping judgment</t>
        </is>
      </c>
    </row>
    <row r="73">
      <c r="A73" s="4" t="inlineStr">
        <is>
          <t>Loan Data</t>
        </is>
      </c>
      <c r="B73" s="4" t="inlineStr">
        <is>
          <t>DD18</t>
        </is>
      </c>
      <c r="C73" s="4" t="n">
        <v>24624335</v>
      </c>
      <c r="D73" s="4" t="inlineStr">
        <is>
          <t>Sourced</t>
        </is>
      </c>
      <c r="E73" s="5" t="inlineStr">
        <is>
          <t>Prime Care Senior Financing_IC Memo_vF.pdf p.13-14 (in-place T-3; untrended as-if stabilized; SSP UW Year 3). IO DSCR on $205M senior. Untrended DSCR derived = 24.62M / (20.70M / 1.59x). Year 3 as Trended is a mapping judgment</t>
        </is>
      </c>
    </row>
    <row r="74">
      <c r="A74" s="2" t="inlineStr">
        <is>
          <t>Loan Data</t>
        </is>
      </c>
      <c r="B74" s="2" t="inlineStr">
        <is>
          <t>DE18</t>
        </is>
      </c>
      <c r="C74" s="2" t="n">
        <v>1.89</v>
      </c>
      <c r="D74" s="2" t="inlineStr">
        <is>
          <t>Derived</t>
        </is>
      </c>
      <c r="E74" s="3" t="inlineStr">
        <is>
          <t>Prime Care Senior Financing_IC Memo_vF.pdf p.13-14 (in-place T-3; untrended as-if stabilized; SSP UW Year 3). IO DSCR on $205M senior. Untrended DSCR derived = 24.62M / (20.70M / 1.59x). Year 3 as Trended is a mapping judgment</t>
        </is>
      </c>
    </row>
    <row r="75">
      <c r="A75" s="4" t="inlineStr">
        <is>
          <t>Loan Data</t>
        </is>
      </c>
      <c r="B75" s="4" t="inlineStr">
        <is>
          <t>DF18</t>
        </is>
      </c>
      <c r="C75" s="4" t="n">
        <v>28889701</v>
      </c>
      <c r="D75" s="6" t="inlineStr">
        <is>
          <t>Verify</t>
        </is>
      </c>
      <c r="E75" s="5" t="inlineStr">
        <is>
          <t>Prime Care Senior Financing_IC Memo_vF.pdf p.13-14 (in-place T-3; untrended as-if stabilized; SSP UW Year 3). IO DSCR on $205M senior. Untrended DSCR derived = 24.62M / (20.70M / 1.59x). Year 3 as Trended is a mapping judgment</t>
        </is>
      </c>
    </row>
    <row r="76">
      <c r="A76" s="2" t="inlineStr">
        <is>
          <t>Loan Data</t>
        </is>
      </c>
      <c r="B76" s="2" t="inlineStr">
        <is>
          <t>DG18</t>
        </is>
      </c>
      <c r="C76" s="2" t="n">
        <v>2.22</v>
      </c>
      <c r="D76" s="6" t="inlineStr">
        <is>
          <t>Verify</t>
        </is>
      </c>
      <c r="E76" s="3" t="inlineStr">
        <is>
          <t>Prime Care Senior Financing_IC Memo_vF.pdf p.13-14 (in-place T-3; untrended as-if stabilized; SSP UW Year 3). IO DSCR on $205M senior. Untrended DSCR derived = 24.62M / (20.70M / 1.59x). Year 3 as Trended is a mapping judgment</t>
        </is>
      </c>
    </row>
    <row r="77">
      <c r="A77" s="4" t="inlineStr">
        <is>
          <t>Loan Data</t>
        </is>
      </c>
      <c r="B77" s="4" t="inlineStr">
        <is>
          <t>DB19</t>
        </is>
      </c>
      <c r="C77" s="4" t="inlineStr">
        <is>
          <t>N/A</t>
        </is>
      </c>
      <c r="D77" s="4" t="inlineStr">
        <is>
          <t>Sourced</t>
        </is>
      </c>
      <c r="E77" s="5" t="inlineStr">
        <is>
          <t>ABF_2026Q3_PortfolioReview_vF.pdf Scarlet Bay: preferred equity in two pre-stabilization developments; no NOI or debt service on SSP position</t>
        </is>
      </c>
    </row>
    <row r="78">
      <c r="A78" s="2" t="inlineStr">
        <is>
          <t>Loan Data</t>
        </is>
      </c>
      <c r="B78" s="2" t="inlineStr">
        <is>
          <t>DB22</t>
        </is>
      </c>
      <c r="C78" s="2" t="inlineStr">
        <is>
          <t>N/A</t>
        </is>
      </c>
      <c r="D78" s="2" t="inlineStr">
        <is>
          <t>Sourced</t>
        </is>
      </c>
      <c r="E78" s="3" t="inlineStr">
        <is>
          <t>ABF_2026Q3_PortfolioReview_vF.pdf Hearthstone: entitled-lot financing JV; no property NOI or DSCR</t>
        </is>
      </c>
    </row>
    <row r="79">
      <c r="A79" s="4" t="inlineStr">
        <is>
          <t>Loan Data</t>
        </is>
      </c>
      <c r="B79" s="4" t="inlineStr">
        <is>
          <t>DC19</t>
        </is>
      </c>
      <c r="C79" s="4" t="inlineStr">
        <is>
          <t>N/A</t>
        </is>
      </c>
      <c r="D79" s="4" t="inlineStr">
        <is>
          <t>Sourced</t>
        </is>
      </c>
      <c r="E79" s="5" t="inlineStr">
        <is>
          <t>ABF_2026Q3_PortfolioReview_vF.pdf Scarlet Bay: preferred equity in two pre-stabilization developments; no NOI or debt service on SSP position</t>
        </is>
      </c>
    </row>
    <row r="80">
      <c r="A80" s="2" t="inlineStr">
        <is>
          <t>Loan Data</t>
        </is>
      </c>
      <c r="B80" s="2" t="inlineStr">
        <is>
          <t>DC22</t>
        </is>
      </c>
      <c r="C80" s="2" t="inlineStr">
        <is>
          <t>N/A</t>
        </is>
      </c>
      <c r="D80" s="2" t="inlineStr">
        <is>
          <t>Sourced</t>
        </is>
      </c>
      <c r="E80" s="3" t="inlineStr">
        <is>
          <t>ABF_2026Q3_PortfolioReview_vF.pdf Hearthstone: entitled-lot financing JV; no property NOI or DSCR</t>
        </is>
      </c>
    </row>
    <row r="81">
      <c r="A81" s="4" t="inlineStr">
        <is>
          <t>Loan Data</t>
        </is>
      </c>
      <c r="B81" s="4" t="inlineStr">
        <is>
          <t>DD19</t>
        </is>
      </c>
      <c r="C81" s="4" t="inlineStr">
        <is>
          <t>N/A</t>
        </is>
      </c>
      <c r="D81" s="4" t="inlineStr">
        <is>
          <t>Sourced</t>
        </is>
      </c>
      <c r="E81" s="5" t="inlineStr">
        <is>
          <t>ABF_2026Q3_PortfolioReview_vF.pdf Scarlet Bay: preferred equity in two pre-stabilization developments; no NOI or debt service on SSP position</t>
        </is>
      </c>
    </row>
    <row r="82">
      <c r="A82" s="2" t="inlineStr">
        <is>
          <t>Loan Data</t>
        </is>
      </c>
      <c r="B82" s="2" t="inlineStr">
        <is>
          <t>DD22</t>
        </is>
      </c>
      <c r="C82" s="2" t="inlineStr">
        <is>
          <t>N/A</t>
        </is>
      </c>
      <c r="D82" s="2" t="inlineStr">
        <is>
          <t>Sourced</t>
        </is>
      </c>
      <c r="E82" s="3" t="inlineStr">
        <is>
          <t>ABF_2026Q3_PortfolioReview_vF.pdf Hearthstone: entitled-lot financing JV; no property NOI or DSCR</t>
        </is>
      </c>
    </row>
    <row r="83">
      <c r="A83" s="4" t="inlineStr">
        <is>
          <t>Loan Data</t>
        </is>
      </c>
      <c r="B83" s="4" t="inlineStr">
        <is>
          <t>DE19</t>
        </is>
      </c>
      <c r="C83" s="4" t="inlineStr">
        <is>
          <t>N/A</t>
        </is>
      </c>
      <c r="D83" s="4" t="inlineStr">
        <is>
          <t>Sourced</t>
        </is>
      </c>
      <c r="E83" s="5" t="inlineStr">
        <is>
          <t>ABF_2026Q3_PortfolioReview_vF.pdf Scarlet Bay: preferred equity in two pre-stabilization developments; no NOI or debt service on SSP position</t>
        </is>
      </c>
    </row>
    <row r="84">
      <c r="A84" s="2" t="inlineStr">
        <is>
          <t>Loan Data</t>
        </is>
      </c>
      <c r="B84" s="2" t="inlineStr">
        <is>
          <t>DE22</t>
        </is>
      </c>
      <c r="C84" s="2" t="inlineStr">
        <is>
          <t>N/A</t>
        </is>
      </c>
      <c r="D84" s="2" t="inlineStr">
        <is>
          <t>Sourced</t>
        </is>
      </c>
      <c r="E84" s="3" t="inlineStr">
        <is>
          <t>ABF_2026Q3_PortfolioReview_vF.pdf Hearthstone: entitled-lot financing JV; no property NOI or DSCR</t>
        </is>
      </c>
    </row>
    <row r="85">
      <c r="A85" s="4" t="inlineStr">
        <is>
          <t>Loan Data</t>
        </is>
      </c>
      <c r="B85" s="4" t="inlineStr">
        <is>
          <t>DF19</t>
        </is>
      </c>
      <c r="C85" s="4" t="inlineStr">
        <is>
          <t>N/A</t>
        </is>
      </c>
      <c r="D85" s="4" t="inlineStr">
        <is>
          <t>Sourced</t>
        </is>
      </c>
      <c r="E85" s="5" t="inlineStr">
        <is>
          <t>ABF_2026Q3_PortfolioReview_vF.pdf Scarlet Bay: preferred equity in two pre-stabilization developments; no NOI or debt service on SSP position</t>
        </is>
      </c>
    </row>
    <row r="86">
      <c r="A86" s="2" t="inlineStr">
        <is>
          <t>Loan Data</t>
        </is>
      </c>
      <c r="B86" s="2" t="inlineStr">
        <is>
          <t>DF22</t>
        </is>
      </c>
      <c r="C86" s="2" t="inlineStr">
        <is>
          <t>N/A</t>
        </is>
      </c>
      <c r="D86" s="2" t="inlineStr">
        <is>
          <t>Sourced</t>
        </is>
      </c>
      <c r="E86" s="3" t="inlineStr">
        <is>
          <t>ABF_2026Q3_PortfolioReview_vF.pdf Hearthstone: entitled-lot financing JV; no property NOI or DSCR</t>
        </is>
      </c>
    </row>
    <row r="87">
      <c r="A87" s="4" t="inlineStr">
        <is>
          <t>Loan Data</t>
        </is>
      </c>
      <c r="B87" s="4" t="inlineStr">
        <is>
          <t>DG19</t>
        </is>
      </c>
      <c r="C87" s="4" t="inlineStr">
        <is>
          <t>N/A</t>
        </is>
      </c>
      <c r="D87" s="4" t="inlineStr">
        <is>
          <t>Sourced</t>
        </is>
      </c>
      <c r="E87" s="5" t="inlineStr">
        <is>
          <t>ABF_2026Q3_PortfolioReview_vF.pdf Scarlet Bay: preferred equity in two pre-stabilization developments; no NOI or debt service on SSP position</t>
        </is>
      </c>
    </row>
    <row r="88">
      <c r="A88" s="2" t="inlineStr">
        <is>
          <t>Loan Data</t>
        </is>
      </c>
      <c r="B88" s="2" t="inlineStr">
        <is>
          <t>DG22</t>
        </is>
      </c>
      <c r="C88" s="2" t="inlineStr">
        <is>
          <t>N/A</t>
        </is>
      </c>
      <c r="D88" s="2" t="inlineStr">
        <is>
          <t>Sourced</t>
        </is>
      </c>
      <c r="E88" s="3" t="inlineStr">
        <is>
          <t>ABF_2026Q3_PortfolioReview_vF.pdf Hearthstone: entitled-lot financing JV; no property NOI or DSCR</t>
        </is>
      </c>
    </row>
    <row r="89">
      <c r="A89" s="4" t="inlineStr">
        <is>
          <t>Loan Data</t>
        </is>
      </c>
      <c r="B89" s="4" t="inlineStr">
        <is>
          <t>DB20</t>
        </is>
      </c>
      <c r="C89" s="4" t="n">
        <v>-8512425</v>
      </c>
      <c r="D89" s="6" t="inlineStr">
        <is>
          <t>Verify</t>
        </is>
      </c>
      <c r="E89" s="5" t="inlineStr">
        <is>
          <t>ABF_2026Q3_PortfolioReview_vF.pdf p.470-471 (Sponsor Actual/UW 2026 = in-place; Projected at Exit 2030); Royalton vIC v05.pdf valuation page (2025PF NOI $17.325M untrended). Whole loan DSCR. Untrended DSCR derived = 17.325M / exit-year debt service $25.94M</t>
        </is>
      </c>
    </row>
    <row r="90">
      <c r="A90" s="2" t="inlineStr">
        <is>
          <t>Loan Data</t>
        </is>
      </c>
      <c r="B90" s="2" t="inlineStr">
        <is>
          <t>DC20</t>
        </is>
      </c>
      <c r="C90" s="2" t="n">
        <v>-0.59</v>
      </c>
      <c r="D90" s="2" t="inlineStr">
        <is>
          <t>Sourced</t>
        </is>
      </c>
      <c r="E90" s="3" t="inlineStr">
        <is>
          <t>ABF_2026Q3_PortfolioReview_vF.pdf p.470-471 (Sponsor Actual/UW 2026 = in-place; Projected at Exit 2030); Royalton vIC v05.pdf valuation page (2025PF NOI $17.325M untrended). Whole loan DSCR. Untrended DSCR derived = 17.325M / exit-year debt service $25.94M</t>
        </is>
      </c>
    </row>
    <row r="91">
      <c r="A91" s="4" t="inlineStr">
        <is>
          <t>Loan Data</t>
        </is>
      </c>
      <c r="B91" s="4" t="inlineStr">
        <is>
          <t>DD20</t>
        </is>
      </c>
      <c r="C91" s="4" t="n">
        <v>17325000</v>
      </c>
      <c r="D91" s="4" t="inlineStr">
        <is>
          <t>Sourced</t>
        </is>
      </c>
      <c r="E91" s="5" t="inlineStr">
        <is>
          <t>ABF_2026Q3_PortfolioReview_vF.pdf p.470-471 (Sponsor Actual/UW 2026 = in-place; Projected at Exit 2030); Royalton vIC v05.pdf valuation page (2025PF NOI $17.325M untrended). Whole loan DSCR. Untrended DSCR derived = 17.325M / exit-year debt service $25.94M</t>
        </is>
      </c>
    </row>
    <row r="92">
      <c r="A92" s="2" t="inlineStr">
        <is>
          <t>Loan Data</t>
        </is>
      </c>
      <c r="B92" s="2" t="inlineStr">
        <is>
          <t>DE20</t>
        </is>
      </c>
      <c r="C92" s="2" t="n">
        <v>0.67</v>
      </c>
      <c r="D92" s="2" t="inlineStr">
        <is>
          <t>Derived</t>
        </is>
      </c>
      <c r="E92" s="3" t="inlineStr">
        <is>
          <t>ABF_2026Q3_PortfolioReview_vF.pdf p.470-471 (Sponsor Actual/UW 2026 = in-place; Projected at Exit 2030); Royalton vIC v05.pdf valuation page (2025PF NOI $17.325M untrended). Whole loan DSCR. Untrended DSCR derived = 17.325M / exit-year debt service $25.94M</t>
        </is>
      </c>
    </row>
    <row r="93">
      <c r="A93" s="4" t="inlineStr">
        <is>
          <t>Loan Data</t>
        </is>
      </c>
      <c r="B93" s="4" t="inlineStr">
        <is>
          <t>DF20</t>
        </is>
      </c>
      <c r="C93" s="4" t="n">
        <v>20353532</v>
      </c>
      <c r="D93" s="4" t="inlineStr">
        <is>
          <t>Sourced</t>
        </is>
      </c>
      <c r="E93" s="5" t="inlineStr">
        <is>
          <t>ABF_2026Q3_PortfolioReview_vF.pdf p.470-471 (Sponsor Actual/UW 2026 = in-place; Projected at Exit 2030); Royalton vIC v05.pdf valuation page (2025PF NOI $17.325M untrended). Whole loan DSCR. Untrended DSCR derived = 17.325M / exit-year debt service $25.94M</t>
        </is>
      </c>
    </row>
    <row r="94">
      <c r="A94" s="2" t="inlineStr">
        <is>
          <t>Loan Data</t>
        </is>
      </c>
      <c r="B94" s="2" t="inlineStr">
        <is>
          <t>DG20</t>
        </is>
      </c>
      <c r="C94" s="2" t="n">
        <v>0.78</v>
      </c>
      <c r="D94" s="2" t="inlineStr">
        <is>
          <t>Sourced</t>
        </is>
      </c>
      <c r="E94" s="3" t="inlineStr">
        <is>
          <t>ABF_2026Q3_PortfolioReview_vF.pdf p.470-471 (Sponsor Actual/UW 2026 = in-place; Projected at Exit 2030); Royalton vIC v05.pdf valuation page (2025PF NOI $17.325M untrended). Whole loan DSCR. Untrended DSCR derived = 17.325M / exit-year debt service $25.94M</t>
        </is>
      </c>
    </row>
    <row r="95">
      <c r="A95" s="4" t="inlineStr">
        <is>
          <t>Loan Data</t>
        </is>
      </c>
      <c r="B95" s="4" t="inlineStr">
        <is>
          <t>BR21</t>
        </is>
      </c>
      <c r="C95" s="4">
        <f>BR20</f>
        <v/>
      </c>
      <c r="D95" s="4" t="inlineStr">
        <is>
          <t>Link</t>
        </is>
      </c>
      <c r="E95" s="5" t="inlineStr">
        <is>
          <t>Same cap as Royalton Whole Loan (levered piece of same loan)</t>
        </is>
      </c>
    </row>
    <row r="96">
      <c r="A96" s="2" t="inlineStr">
        <is>
          <t>Loan Data</t>
        </is>
      </c>
      <c r="B96" s="2" t="inlineStr">
        <is>
          <t>BS21</t>
        </is>
      </c>
      <c r="C96" s="2">
        <f>BS20</f>
        <v/>
      </c>
      <c r="D96" s="2" t="inlineStr">
        <is>
          <t>Link</t>
        </is>
      </c>
      <c r="E96" s="3" t="inlineStr">
        <is>
          <t>Same cap as Royalton Whole Loan; BS20 notional not traced to the PR, verify</t>
        </is>
      </c>
    </row>
    <row r="97">
      <c r="A97" s="4" t="inlineStr">
        <is>
          <t>Loan Data</t>
        </is>
      </c>
      <c r="B97" s="4" t="inlineStr">
        <is>
          <t>BT21</t>
        </is>
      </c>
      <c r="C97" s="4">
        <f>BT20</f>
        <v/>
      </c>
      <c r="D97" s="4" t="inlineStr">
        <is>
          <t>Link</t>
        </is>
      </c>
      <c r="E97" s="5" t="inlineStr">
        <is>
          <t>Same cap as Royalton Whole Loan</t>
        </is>
      </c>
    </row>
    <row r="98">
      <c r="A98" s="2" t="inlineStr">
        <is>
          <t>Loan Data</t>
        </is>
      </c>
      <c r="B98" s="2" t="inlineStr">
        <is>
          <t>DB21</t>
        </is>
      </c>
      <c r="C98" s="2">
        <f>DB20</f>
        <v/>
      </c>
      <c r="D98" s="2" t="inlineStr">
        <is>
          <t>Link</t>
        </is>
      </c>
      <c r="E98" s="3" t="inlineStr">
        <is>
          <t>Property level metrics identical to Royalton Whole Loan (row 20); levered equity DSCR not published</t>
        </is>
      </c>
    </row>
    <row r="99">
      <c r="A99" s="4" t="inlineStr">
        <is>
          <t>Loan Data</t>
        </is>
      </c>
      <c r="B99" s="4" t="inlineStr">
        <is>
          <t>DC21</t>
        </is>
      </c>
      <c r="C99" s="4">
        <f>DC20</f>
        <v/>
      </c>
      <c r="D99" s="4" t="inlineStr">
        <is>
          <t>Link</t>
        </is>
      </c>
      <c r="E99" s="5" t="inlineStr">
        <is>
          <t>Property level metrics identical to Royalton Whole Loan (row 20); levered equity DSCR not published</t>
        </is>
      </c>
    </row>
    <row r="100">
      <c r="A100" s="2" t="inlineStr">
        <is>
          <t>Loan Data</t>
        </is>
      </c>
      <c r="B100" s="2" t="inlineStr">
        <is>
          <t>DD21</t>
        </is>
      </c>
      <c r="C100" s="2">
        <f>DD20</f>
        <v/>
      </c>
      <c r="D100" s="2" t="inlineStr">
        <is>
          <t>Link</t>
        </is>
      </c>
      <c r="E100" s="3" t="inlineStr">
        <is>
          <t>Property level metrics identical to Royalton Whole Loan (row 20); levered equity DSCR not published</t>
        </is>
      </c>
    </row>
    <row r="101">
      <c r="A101" s="4" t="inlineStr">
        <is>
          <t>Loan Data</t>
        </is>
      </c>
      <c r="B101" s="4" t="inlineStr">
        <is>
          <t>DE21</t>
        </is>
      </c>
      <c r="C101" s="4">
        <f>DE20</f>
        <v/>
      </c>
      <c r="D101" s="4" t="inlineStr">
        <is>
          <t>Link</t>
        </is>
      </c>
      <c r="E101" s="5" t="inlineStr">
        <is>
          <t>Property level metrics identical to Royalton Whole Loan (row 20); levered equity DSCR not published</t>
        </is>
      </c>
    </row>
    <row r="102">
      <c r="A102" s="2" t="inlineStr">
        <is>
          <t>Loan Data</t>
        </is>
      </c>
      <c r="B102" s="2" t="inlineStr">
        <is>
          <t>DF21</t>
        </is>
      </c>
      <c r="C102" s="2">
        <f>DF20</f>
        <v/>
      </c>
      <c r="D102" s="2" t="inlineStr">
        <is>
          <t>Link</t>
        </is>
      </c>
      <c r="E102" s="3" t="inlineStr">
        <is>
          <t>Property level metrics identical to Royalton Whole Loan (row 20); levered equity DSCR not published</t>
        </is>
      </c>
    </row>
    <row r="103">
      <c r="A103" s="4" t="inlineStr">
        <is>
          <t>Loan Data</t>
        </is>
      </c>
      <c r="B103" s="4" t="inlineStr">
        <is>
          <t>DG21</t>
        </is>
      </c>
      <c r="C103" s="4">
        <f>DG20</f>
        <v/>
      </c>
      <c r="D103" s="4" t="inlineStr">
        <is>
          <t>Link</t>
        </is>
      </c>
      <c r="E103" s="5" t="inlineStr">
        <is>
          <t>Property level metrics identical to Royalton Whole Loan (row 20); levered equity DSCR not published</t>
        </is>
      </c>
    </row>
    <row r="104">
      <c r="A104" s="2" t="inlineStr">
        <is>
          <t>Capital Stack</t>
        </is>
      </c>
      <c r="B104" s="2" t="inlineStr">
        <is>
          <t>AG3</t>
        </is>
      </c>
      <c r="C104" s="2" t="inlineStr">
        <is>
          <t>N/A</t>
        </is>
      </c>
      <c r="D104" s="2" t="inlineStr">
        <is>
          <t>Sourced</t>
        </is>
      </c>
      <c r="E104" s="3" t="inlineStr">
        <is>
          <t>Sequoia: no subordinate debt or third position (sheet convention, rows 5-6)</t>
        </is>
      </c>
    </row>
    <row r="105">
      <c r="A105" s="4" t="inlineStr">
        <is>
          <t>Capital Stack</t>
        </is>
      </c>
      <c r="B105" s="4" t="inlineStr">
        <is>
          <t>AI3</t>
        </is>
      </c>
      <c r="C105" s="4" t="inlineStr">
        <is>
          <t>N/A</t>
        </is>
      </c>
      <c r="D105" s="4" t="inlineStr">
        <is>
          <t>Sourced</t>
        </is>
      </c>
      <c r="E105" s="5" t="inlineStr">
        <is>
          <t>Sequoia: no subordinate debt or third position (sheet convention, rows 5-6)</t>
        </is>
      </c>
    </row>
    <row r="106">
      <c r="A106" s="2" t="inlineStr">
        <is>
          <t>Capital Stack</t>
        </is>
      </c>
      <c r="B106" s="2" t="inlineStr">
        <is>
          <t>AJ3</t>
        </is>
      </c>
      <c r="C106" s="2" t="inlineStr">
        <is>
          <t>N/A</t>
        </is>
      </c>
      <c r="D106" s="2" t="inlineStr">
        <is>
          <t>Sourced</t>
        </is>
      </c>
      <c r="E106" s="3" t="inlineStr">
        <is>
          <t>Sequoia: no subordinate debt or third position (sheet convention, rows 5-6)</t>
        </is>
      </c>
    </row>
    <row r="107">
      <c r="A107" s="4" t="inlineStr">
        <is>
          <t>Capital Stack</t>
        </is>
      </c>
      <c r="B107" s="4" t="inlineStr">
        <is>
          <t>AL3</t>
        </is>
      </c>
      <c r="C107" s="4" t="inlineStr">
        <is>
          <t>N/A</t>
        </is>
      </c>
      <c r="D107" s="4" t="inlineStr">
        <is>
          <t>Sourced</t>
        </is>
      </c>
      <c r="E107" s="5" t="inlineStr">
        <is>
          <t>Sequoia: no subordinate debt or third position (sheet convention, rows 5-6)</t>
        </is>
      </c>
    </row>
    <row r="108">
      <c r="A108" s="2" t="inlineStr">
        <is>
          <t>Capital Stack</t>
        </is>
      </c>
      <c r="B108" s="2" t="inlineStr">
        <is>
          <t>AM3</t>
        </is>
      </c>
      <c r="C108" s="2" t="inlineStr">
        <is>
          <t>N/A</t>
        </is>
      </c>
      <c r="D108" s="2" t="inlineStr">
        <is>
          <t>Sourced</t>
        </is>
      </c>
      <c r="E108" s="3" t="inlineStr">
        <is>
          <t>Sequoia: no subordinate debt or third position (sheet convention, rows 5-6)</t>
        </is>
      </c>
    </row>
    <row r="109">
      <c r="A109" s="4" t="inlineStr">
        <is>
          <t>Capital Stack</t>
        </is>
      </c>
      <c r="B109" s="4" t="inlineStr">
        <is>
          <t>AN3</t>
        </is>
      </c>
      <c r="C109" s="4" t="inlineStr">
        <is>
          <t>N/A</t>
        </is>
      </c>
      <c r="D109" s="4" t="inlineStr">
        <is>
          <t>Sourced</t>
        </is>
      </c>
      <c r="E109" s="5" t="inlineStr">
        <is>
          <t>Sequoia: no subordinate debt or third position (sheet convention, rows 5-6)</t>
        </is>
      </c>
    </row>
    <row r="110">
      <c r="A110" s="2" t="inlineStr">
        <is>
          <t>Capital Stack</t>
        </is>
      </c>
      <c r="B110" s="2" t="inlineStr">
        <is>
          <t>AO3</t>
        </is>
      </c>
      <c r="C110" s="2" t="inlineStr">
        <is>
          <t>N/A</t>
        </is>
      </c>
      <c r="D110" s="2" t="inlineStr">
        <is>
          <t>Sourced</t>
        </is>
      </c>
      <c r="E110" s="3" t="inlineStr">
        <is>
          <t>Sequoia: no subordinate debt or third position (sheet convention, rows 5-6)</t>
        </is>
      </c>
    </row>
    <row r="111">
      <c r="A111" s="4" t="inlineStr">
        <is>
          <t>Capital Stack</t>
        </is>
      </c>
      <c r="B111" s="4" t="inlineStr">
        <is>
          <t>AP3</t>
        </is>
      </c>
      <c r="C111" s="4" t="inlineStr">
        <is>
          <t>N/A</t>
        </is>
      </c>
      <c r="D111" s="4" t="inlineStr">
        <is>
          <t>Sourced</t>
        </is>
      </c>
      <c r="E111" s="5" t="inlineStr">
        <is>
          <t>Sequoia: no subordinate debt or third position (sheet convention, rows 5-6)</t>
        </is>
      </c>
    </row>
    <row r="112">
      <c r="A112" s="2" t="inlineStr">
        <is>
          <t>Capital Stack</t>
        </is>
      </c>
      <c r="B112" s="2" t="inlineStr">
        <is>
          <t>AH5</t>
        </is>
      </c>
      <c r="C112" s="2" t="inlineStr">
        <is>
          <t>N/A</t>
        </is>
      </c>
      <c r="D112" s="2" t="inlineStr">
        <is>
          <t>Sourced</t>
        </is>
      </c>
      <c r="E112" s="3" t="inlineStr">
        <is>
          <t>Lakefront North: second position is sponsor equity, no subordinate debt or third position</t>
        </is>
      </c>
    </row>
    <row r="113">
      <c r="A113" s="4" t="inlineStr">
        <is>
          <t>Capital Stack</t>
        </is>
      </c>
      <c r="B113" s="4" t="inlineStr">
        <is>
          <t>AI5</t>
        </is>
      </c>
      <c r="C113" s="4" t="inlineStr">
        <is>
          <t>N/A</t>
        </is>
      </c>
      <c r="D113" s="4" t="inlineStr">
        <is>
          <t>Sourced</t>
        </is>
      </c>
      <c r="E113" s="5" t="inlineStr">
        <is>
          <t>Lakefront North: second position is sponsor equity, no subordinate debt or third position</t>
        </is>
      </c>
    </row>
    <row r="114">
      <c r="A114" s="2" t="inlineStr">
        <is>
          <t>Capital Stack</t>
        </is>
      </c>
      <c r="B114" s="2" t="inlineStr">
        <is>
          <t>AJ5</t>
        </is>
      </c>
      <c r="C114" s="2" t="inlineStr">
        <is>
          <t>N/A</t>
        </is>
      </c>
      <c r="D114" s="2" t="inlineStr">
        <is>
          <t>Sourced</t>
        </is>
      </c>
      <c r="E114" s="3" t="inlineStr">
        <is>
          <t>Lakefront North: second position is sponsor equity, no subordinate debt or third position</t>
        </is>
      </c>
    </row>
    <row r="115">
      <c r="A115" s="4" t="inlineStr">
        <is>
          <t>Capital Stack</t>
        </is>
      </c>
      <c r="B115" s="4" t="inlineStr">
        <is>
          <t>AK5</t>
        </is>
      </c>
      <c r="C115" s="4" t="inlineStr">
        <is>
          <t>N/A</t>
        </is>
      </c>
      <c r="D115" s="4" t="inlineStr">
        <is>
          <t>Sourced</t>
        </is>
      </c>
      <c r="E115" s="5" t="inlineStr">
        <is>
          <t>Lakefront North: second position is sponsor equity, no subordinate debt or third position</t>
        </is>
      </c>
    </row>
    <row r="116">
      <c r="A116" s="2" t="inlineStr">
        <is>
          <t>Capital Stack</t>
        </is>
      </c>
      <c r="B116" s="2" t="inlineStr">
        <is>
          <t>AL5</t>
        </is>
      </c>
      <c r="C116" s="2" t="inlineStr">
        <is>
          <t>N/A</t>
        </is>
      </c>
      <c r="D116" s="2" t="inlineStr">
        <is>
          <t>Sourced</t>
        </is>
      </c>
      <c r="E116" s="3" t="inlineStr">
        <is>
          <t>Lakefront North: second position is sponsor equity, no subordinate debt or third position</t>
        </is>
      </c>
    </row>
    <row r="117">
      <c r="A117" s="4" t="inlineStr">
        <is>
          <t>Capital Stack</t>
        </is>
      </c>
      <c r="B117" s="4" t="inlineStr">
        <is>
          <t>AM5</t>
        </is>
      </c>
      <c r="C117" s="4" t="inlineStr">
        <is>
          <t>N/A</t>
        </is>
      </c>
      <c r="D117" s="4" t="inlineStr">
        <is>
          <t>Sourced</t>
        </is>
      </c>
      <c r="E117" s="5" t="inlineStr">
        <is>
          <t>Lakefront North: second position is sponsor equity, no subordinate debt or third position</t>
        </is>
      </c>
    </row>
    <row r="118">
      <c r="A118" s="2" t="inlineStr">
        <is>
          <t>Capital Stack</t>
        </is>
      </c>
      <c r="B118" s="2" t="inlineStr">
        <is>
          <t>AN5</t>
        </is>
      </c>
      <c r="C118" s="2" t="inlineStr">
        <is>
          <t>N/A</t>
        </is>
      </c>
      <c r="D118" s="2" t="inlineStr">
        <is>
          <t>Sourced</t>
        </is>
      </c>
      <c r="E118" s="3" t="inlineStr">
        <is>
          <t>Lakefront North: second position is sponsor equity, no subordinate debt or third position</t>
        </is>
      </c>
    </row>
    <row r="119">
      <c r="A119" s="4" t="inlineStr">
        <is>
          <t>Capital Stack</t>
        </is>
      </c>
      <c r="B119" s="4" t="inlineStr">
        <is>
          <t>AO5</t>
        </is>
      </c>
      <c r="C119" s="4" t="inlineStr">
        <is>
          <t>N/A</t>
        </is>
      </c>
      <c r="D119" s="4" t="inlineStr">
        <is>
          <t>Sourced</t>
        </is>
      </c>
      <c r="E119" s="5" t="inlineStr">
        <is>
          <t>Lakefront North: second position is sponsor equity, no subordinate debt or third position</t>
        </is>
      </c>
    </row>
    <row r="120">
      <c r="A120" s="2" t="inlineStr">
        <is>
          <t>Capital Stack</t>
        </is>
      </c>
      <c r="B120" s="2" t="inlineStr">
        <is>
          <t>AP5</t>
        </is>
      </c>
      <c r="C120" s="2" t="inlineStr">
        <is>
          <t>N/A</t>
        </is>
      </c>
      <c r="D120" s="2" t="inlineStr">
        <is>
          <t>Sourced</t>
        </is>
      </c>
      <c r="E120" s="3" t="inlineStr">
        <is>
          <t>Lakefront North: second position is sponsor equity, no subordinate debt or third position</t>
        </is>
      </c>
    </row>
    <row r="121">
      <c r="A121" s="4" t="inlineStr">
        <is>
          <t>Capital Stack</t>
        </is>
      </c>
      <c r="B121" s="4" t="inlineStr">
        <is>
          <t>AF6</t>
        </is>
      </c>
      <c r="C121" s="4" t="n">
        <v>100</v>
      </c>
      <c r="D121" s="4" t="inlineStr">
        <is>
          <t>Sourced</t>
        </is>
      </c>
      <c r="E121" s="5" t="inlineStr">
        <is>
          <t>Balboa: second position is sponsor equity (last dollar of risk), same convention as row 5</t>
        </is>
      </c>
    </row>
    <row r="122">
      <c r="A122" s="2" t="inlineStr">
        <is>
          <t>Capital Stack</t>
        </is>
      </c>
      <c r="B122" s="2" t="inlineStr">
        <is>
          <t>AG6</t>
        </is>
      </c>
      <c r="C122" s="2" t="inlineStr">
        <is>
          <t>N/A</t>
        </is>
      </c>
      <c r="D122" s="2" t="inlineStr">
        <is>
          <t>Sourced</t>
        </is>
      </c>
      <c r="E122" s="3" t="inlineStr">
        <is>
          <t>Balboa: sponsor equity has no advance rate, LTV or spread; no third position</t>
        </is>
      </c>
    </row>
    <row r="123">
      <c r="A123" s="4" t="inlineStr">
        <is>
          <t>Capital Stack</t>
        </is>
      </c>
      <c r="B123" s="4" t="inlineStr">
        <is>
          <t>AH6</t>
        </is>
      </c>
      <c r="C123" s="4" t="inlineStr">
        <is>
          <t>N/A</t>
        </is>
      </c>
      <c r="D123" s="4" t="inlineStr">
        <is>
          <t>Sourced</t>
        </is>
      </c>
      <c r="E123" s="5" t="inlineStr">
        <is>
          <t>Balboa: sponsor equity has no advance rate, LTV or spread; no third position</t>
        </is>
      </c>
    </row>
    <row r="124">
      <c r="A124" s="2" t="inlineStr">
        <is>
          <t>Capital Stack</t>
        </is>
      </c>
      <c r="B124" s="2" t="inlineStr">
        <is>
          <t>AI6</t>
        </is>
      </c>
      <c r="C124" s="2" t="inlineStr">
        <is>
          <t>N/A</t>
        </is>
      </c>
      <c r="D124" s="2" t="inlineStr">
        <is>
          <t>Sourced</t>
        </is>
      </c>
      <c r="E124" s="3" t="inlineStr">
        <is>
          <t>Balboa: sponsor equity has no advance rate, LTV or spread; no third position</t>
        </is>
      </c>
    </row>
    <row r="125">
      <c r="A125" s="4" t="inlineStr">
        <is>
          <t>Capital Stack</t>
        </is>
      </c>
      <c r="B125" s="4" t="inlineStr">
        <is>
          <t>AJ6</t>
        </is>
      </c>
      <c r="C125" s="4" t="inlineStr">
        <is>
          <t>N/A</t>
        </is>
      </c>
      <c r="D125" s="4" t="inlineStr">
        <is>
          <t>Sourced</t>
        </is>
      </c>
      <c r="E125" s="5" t="inlineStr">
        <is>
          <t>Balboa: sponsor equity has no advance rate, LTV or spread; no third position</t>
        </is>
      </c>
    </row>
    <row r="126">
      <c r="A126" s="2" t="inlineStr">
        <is>
          <t>Capital Stack</t>
        </is>
      </c>
      <c r="B126" s="2" t="inlineStr">
        <is>
          <t>AK6</t>
        </is>
      </c>
      <c r="C126" s="2" t="inlineStr">
        <is>
          <t>N/A</t>
        </is>
      </c>
      <c r="D126" s="2" t="inlineStr">
        <is>
          <t>Sourced</t>
        </is>
      </c>
      <c r="E126" s="3" t="inlineStr">
        <is>
          <t>Balboa: sponsor equity has no advance rate, LTV or spread; no third position</t>
        </is>
      </c>
    </row>
    <row r="127">
      <c r="A127" s="4" t="inlineStr">
        <is>
          <t>Capital Stack</t>
        </is>
      </c>
      <c r="B127" s="4" t="inlineStr">
        <is>
          <t>AL6</t>
        </is>
      </c>
      <c r="C127" s="4" t="inlineStr">
        <is>
          <t>N/A</t>
        </is>
      </c>
      <c r="D127" s="4" t="inlineStr">
        <is>
          <t>Sourced</t>
        </is>
      </c>
      <c r="E127" s="5" t="inlineStr">
        <is>
          <t>Balboa: sponsor equity has no advance rate, LTV or spread; no third position</t>
        </is>
      </c>
    </row>
    <row r="128">
      <c r="A128" s="2" t="inlineStr">
        <is>
          <t>Capital Stack</t>
        </is>
      </c>
      <c r="B128" s="2" t="inlineStr">
        <is>
          <t>AM6</t>
        </is>
      </c>
      <c r="C128" s="2" t="inlineStr">
        <is>
          <t>N/A</t>
        </is>
      </c>
      <c r="D128" s="2" t="inlineStr">
        <is>
          <t>Sourced</t>
        </is>
      </c>
      <c r="E128" s="3" t="inlineStr">
        <is>
          <t>Balboa: sponsor equity has no advance rate, LTV or spread; no third position</t>
        </is>
      </c>
    </row>
    <row r="129">
      <c r="A129" s="4" t="inlineStr">
        <is>
          <t>Capital Stack</t>
        </is>
      </c>
      <c r="B129" s="4" t="inlineStr">
        <is>
          <t>AN6</t>
        </is>
      </c>
      <c r="C129" s="4" t="inlineStr">
        <is>
          <t>N/A</t>
        </is>
      </c>
      <c r="D129" s="4" t="inlineStr">
        <is>
          <t>Sourced</t>
        </is>
      </c>
      <c r="E129" s="5" t="inlineStr">
        <is>
          <t>Balboa: sponsor equity has no advance rate, LTV or spread; no third position</t>
        </is>
      </c>
    </row>
    <row r="130">
      <c r="A130" s="2" t="inlineStr">
        <is>
          <t>Capital Stack</t>
        </is>
      </c>
      <c r="B130" s="2" t="inlineStr">
        <is>
          <t>AO6</t>
        </is>
      </c>
      <c r="C130" s="2" t="inlineStr">
        <is>
          <t>N/A</t>
        </is>
      </c>
      <c r="D130" s="2" t="inlineStr">
        <is>
          <t>Sourced</t>
        </is>
      </c>
      <c r="E130" s="3" t="inlineStr">
        <is>
          <t>Balboa: sponsor equity has no advance rate, LTV or spread; no third position</t>
        </is>
      </c>
    </row>
    <row r="131">
      <c r="A131" s="4" t="inlineStr">
        <is>
          <t>Capital Stack</t>
        </is>
      </c>
      <c r="B131" s="4" t="inlineStr">
        <is>
          <t>AP6</t>
        </is>
      </c>
      <c r="C131" s="4" t="inlineStr">
        <is>
          <t>N/A</t>
        </is>
      </c>
      <c r="D131" s="4" t="inlineStr">
        <is>
          <t>Sourced</t>
        </is>
      </c>
      <c r="E131" s="5" t="inlineStr">
        <is>
          <t>Balboa: sponsor equity has no advance rate, LTV or spread; no third position</t>
        </is>
      </c>
    </row>
    <row r="132">
      <c r="A132" s="2" t="inlineStr">
        <is>
          <t>Capital Stack</t>
        </is>
      </c>
      <c r="B132" s="2" t="inlineStr">
        <is>
          <t>AP4</t>
        </is>
      </c>
      <c r="C132" s="2" t="inlineStr">
        <is>
          <t>N/A</t>
        </is>
      </c>
      <c r="D132" s="2" t="inlineStr">
        <is>
          <t>Sourced</t>
        </is>
      </c>
      <c r="E132" s="3" t="inlineStr">
        <is>
          <t>Third position is sponsor equity, no spread</t>
        </is>
      </c>
    </row>
    <row r="133">
      <c r="A133" s="4" t="inlineStr">
        <is>
          <t>Capital Stack</t>
        </is>
      </c>
      <c r="B133" s="4" t="inlineStr">
        <is>
          <t>AP7</t>
        </is>
      </c>
      <c r="C133" s="4" t="inlineStr">
        <is>
          <t>N/A</t>
        </is>
      </c>
      <c r="D133" s="4" t="inlineStr">
        <is>
          <t>Sourced</t>
        </is>
      </c>
      <c r="E133" s="5" t="inlineStr">
        <is>
          <t>Third position is sponsor equity, no spread</t>
        </is>
      </c>
    </row>
    <row r="134">
      <c r="A134" s="2" t="inlineStr">
        <is>
          <t>Capital Stack</t>
        </is>
      </c>
      <c r="B134" s="2" t="inlineStr">
        <is>
          <t>AP8</t>
        </is>
      </c>
      <c r="C134" s="2" t="inlineStr">
        <is>
          <t>N/A</t>
        </is>
      </c>
      <c r="D134" s="2" t="inlineStr">
        <is>
          <t>Sourced</t>
        </is>
      </c>
      <c r="E134" s="3" t="inlineStr">
        <is>
          <t>Third position is sponsor equity, no spread</t>
        </is>
      </c>
    </row>
    <row r="135">
      <c r="A135" s="4" t="inlineStr">
        <is>
          <t>Capital Stack</t>
        </is>
      </c>
      <c r="B135" s="4" t="inlineStr">
        <is>
          <t>AP9</t>
        </is>
      </c>
      <c r="C135" s="4" t="inlineStr">
        <is>
          <t>N/A</t>
        </is>
      </c>
      <c r="D135" s="4" t="inlineStr">
        <is>
          <t>Sourced</t>
        </is>
      </c>
      <c r="E135" s="5" t="inlineStr">
        <is>
          <t>Third position is sponsor equity, no spread</t>
        </is>
      </c>
    </row>
    <row r="136">
      <c r="A136" s="2" t="inlineStr">
        <is>
          <t>Capital Stack</t>
        </is>
      </c>
      <c r="B136" s="2" t="inlineStr">
        <is>
          <t>AP10</t>
        </is>
      </c>
      <c r="C136" s="2" t="inlineStr">
        <is>
          <t>N/A</t>
        </is>
      </c>
      <c r="D136" s="2" t="inlineStr">
        <is>
          <t>Sourced</t>
        </is>
      </c>
      <c r="E136" s="3" t="inlineStr">
        <is>
          <t>Third position is sponsor equity, no spread</t>
        </is>
      </c>
    </row>
    <row r="137">
      <c r="A137" s="4" t="inlineStr">
        <is>
          <t>Capital Stack</t>
        </is>
      </c>
      <c r="B137" s="4" t="inlineStr">
        <is>
          <t>AB11</t>
        </is>
      </c>
      <c r="C137" s="4" t="n">
        <v>0.0251</v>
      </c>
      <c r="D137" s="4" t="inlineStr">
        <is>
          <t>Sourced</t>
        </is>
      </c>
      <c r="E137" s="5" t="inlineStr">
        <is>
          <t>ABF_2026Q3_PortfolioReview_vF.pdf Fayetteville deal page: priced at 5YT + 2.51% net spread (gross 2.65%, 0.14% servicing fee)</t>
        </is>
      </c>
    </row>
    <row r="138">
      <c r="A138" s="2" t="inlineStr">
        <is>
          <t>Capital Stack</t>
        </is>
      </c>
      <c r="B138" s="2" t="inlineStr">
        <is>
          <t>AB12</t>
        </is>
      </c>
      <c r="C138" s="2" t="n">
        <v>0.0251</v>
      </c>
      <c r="D138" s="2" t="inlineStr">
        <is>
          <t>Sourced</t>
        </is>
      </c>
      <c r="E138" s="3" t="inlineStr">
        <is>
          <t>ABF_2026Q3_PortfolioReview_vF.pdf Mosaic deal terms: Net Spread 2.51% (gross 2.65%)</t>
        </is>
      </c>
    </row>
    <row r="139">
      <c r="A139" s="4" t="inlineStr">
        <is>
          <t>Capital Stack</t>
        </is>
      </c>
      <c r="B139" s="4" t="inlineStr">
        <is>
          <t>AB13</t>
        </is>
      </c>
      <c r="C139" s="4" t="n">
        <v>0.0235</v>
      </c>
      <c r="D139" s="4" t="inlineStr">
        <is>
          <t>Sourced</t>
        </is>
      </c>
      <c r="E139" s="5" t="inlineStr">
        <is>
          <t>ABF_2026Q3_PortfolioReview_vF.pdf Arista deal terms: Net Spread 2.35% (gross 2.40%)</t>
        </is>
      </c>
    </row>
    <row r="140">
      <c r="A140" s="2" t="inlineStr">
        <is>
          <t>Capital Stack</t>
        </is>
      </c>
      <c r="B140" s="2" t="inlineStr">
        <is>
          <t>AD11</t>
        </is>
      </c>
      <c r="C140" s="2" t="n">
        <v>0</v>
      </c>
      <c r="D140" s="2" t="inlineStr">
        <is>
          <t>Derived</t>
        </is>
      </c>
      <c r="E140" s="3" t="inlineStr">
        <is>
          <t>ABF_2026Q3_PortfolioReview_vF.pdf S&amp;U: no sponsor equity line, Total Uses less senior = 0</t>
        </is>
      </c>
    </row>
    <row r="141">
      <c r="A141" s="4" t="inlineStr">
        <is>
          <t>Capital Stack</t>
        </is>
      </c>
      <c r="B141" s="4" t="inlineStr">
        <is>
          <t>AE11</t>
        </is>
      </c>
      <c r="C141" s="4" t="n">
        <v>0</v>
      </c>
      <c r="D141" s="4" t="inlineStr">
        <is>
          <t>Sourced</t>
        </is>
      </c>
      <c r="E141" s="5" t="inlineStr">
        <is>
          <t>Same convention as rows 5-6</t>
        </is>
      </c>
    </row>
    <row r="142">
      <c r="A142" s="2" t="inlineStr">
        <is>
          <t>Capital Stack</t>
        </is>
      </c>
      <c r="B142" s="2" t="inlineStr">
        <is>
          <t>AF11</t>
        </is>
      </c>
      <c r="C142" s="2" t="n">
        <v>100</v>
      </c>
      <c r="D142" s="2" t="inlineStr">
        <is>
          <t>Sourced</t>
        </is>
      </c>
      <c r="E142" s="3" t="inlineStr">
        <is>
          <t>Same convention as rows 5-6</t>
        </is>
      </c>
    </row>
    <row r="143">
      <c r="A143" s="4" t="inlineStr">
        <is>
          <t>Capital Stack</t>
        </is>
      </c>
      <c r="B143" s="4" t="inlineStr">
        <is>
          <t>AG11</t>
        </is>
      </c>
      <c r="C143" s="4" t="inlineStr">
        <is>
          <t>N/A</t>
        </is>
      </c>
      <c r="D143" s="4" t="inlineStr">
        <is>
          <t>Sourced</t>
        </is>
      </c>
      <c r="E143" s="5" t="inlineStr">
        <is>
          <t>No subordinate debt and no third position</t>
        </is>
      </c>
    </row>
    <row r="144">
      <c r="A144" s="2" t="inlineStr">
        <is>
          <t>Capital Stack</t>
        </is>
      </c>
      <c r="B144" s="2" t="inlineStr">
        <is>
          <t>AH11</t>
        </is>
      </c>
      <c r="C144" s="2" t="inlineStr">
        <is>
          <t>N/A</t>
        </is>
      </c>
      <c r="D144" s="2" t="inlineStr">
        <is>
          <t>Sourced</t>
        </is>
      </c>
      <c r="E144" s="3" t="inlineStr">
        <is>
          <t>No subordinate debt and no third position</t>
        </is>
      </c>
    </row>
    <row r="145">
      <c r="A145" s="4" t="inlineStr">
        <is>
          <t>Capital Stack</t>
        </is>
      </c>
      <c r="B145" s="4" t="inlineStr">
        <is>
          <t>AI11</t>
        </is>
      </c>
      <c r="C145" s="4" t="inlineStr">
        <is>
          <t>N/A</t>
        </is>
      </c>
      <c r="D145" s="4" t="inlineStr">
        <is>
          <t>Sourced</t>
        </is>
      </c>
      <c r="E145" s="5" t="inlineStr">
        <is>
          <t>No subordinate debt and no third position</t>
        </is>
      </c>
    </row>
    <row r="146">
      <c r="A146" s="2" t="inlineStr">
        <is>
          <t>Capital Stack</t>
        </is>
      </c>
      <c r="B146" s="2" t="inlineStr">
        <is>
          <t>AJ11</t>
        </is>
      </c>
      <c r="C146" s="2" t="inlineStr">
        <is>
          <t>N/A</t>
        </is>
      </c>
      <c r="D146" s="2" t="inlineStr">
        <is>
          <t>Sourced</t>
        </is>
      </c>
      <c r="E146" s="3" t="inlineStr">
        <is>
          <t>No subordinate debt and no third position</t>
        </is>
      </c>
    </row>
    <row r="147">
      <c r="A147" s="4" t="inlineStr">
        <is>
          <t>Capital Stack</t>
        </is>
      </c>
      <c r="B147" s="4" t="inlineStr">
        <is>
          <t>AK11</t>
        </is>
      </c>
      <c r="C147" s="4" t="inlineStr">
        <is>
          <t>N/A</t>
        </is>
      </c>
      <c r="D147" s="4" t="inlineStr">
        <is>
          <t>Sourced</t>
        </is>
      </c>
      <c r="E147" s="5" t="inlineStr">
        <is>
          <t>No subordinate debt and no third position</t>
        </is>
      </c>
    </row>
    <row r="148">
      <c r="A148" s="2" t="inlineStr">
        <is>
          <t>Capital Stack</t>
        </is>
      </c>
      <c r="B148" s="2" t="inlineStr">
        <is>
          <t>AL11</t>
        </is>
      </c>
      <c r="C148" s="2" t="inlineStr">
        <is>
          <t>N/A</t>
        </is>
      </c>
      <c r="D148" s="2" t="inlineStr">
        <is>
          <t>Sourced</t>
        </is>
      </c>
      <c r="E148" s="3" t="inlineStr">
        <is>
          <t>No subordinate debt and no third position</t>
        </is>
      </c>
    </row>
    <row r="149">
      <c r="A149" s="4" t="inlineStr">
        <is>
          <t>Capital Stack</t>
        </is>
      </c>
      <c r="B149" s="4" t="inlineStr">
        <is>
          <t>AM11</t>
        </is>
      </c>
      <c r="C149" s="4" t="inlineStr">
        <is>
          <t>N/A</t>
        </is>
      </c>
      <c r="D149" s="4" t="inlineStr">
        <is>
          <t>Sourced</t>
        </is>
      </c>
      <c r="E149" s="5" t="inlineStr">
        <is>
          <t>No subordinate debt and no third position</t>
        </is>
      </c>
    </row>
    <row r="150">
      <c r="A150" s="2" t="inlineStr">
        <is>
          <t>Capital Stack</t>
        </is>
      </c>
      <c r="B150" s="2" t="inlineStr">
        <is>
          <t>AN11</t>
        </is>
      </c>
      <c r="C150" s="2" t="inlineStr">
        <is>
          <t>N/A</t>
        </is>
      </c>
      <c r="D150" s="2" t="inlineStr">
        <is>
          <t>Sourced</t>
        </is>
      </c>
      <c r="E150" s="3" t="inlineStr">
        <is>
          <t>No subordinate debt and no third position</t>
        </is>
      </c>
    </row>
    <row r="151">
      <c r="A151" s="4" t="inlineStr">
        <is>
          <t>Capital Stack</t>
        </is>
      </c>
      <c r="B151" s="4" t="inlineStr">
        <is>
          <t>AO11</t>
        </is>
      </c>
      <c r="C151" s="4" t="inlineStr">
        <is>
          <t>N/A</t>
        </is>
      </c>
      <c r="D151" s="4" t="inlineStr">
        <is>
          <t>Sourced</t>
        </is>
      </c>
      <c r="E151" s="5" t="inlineStr">
        <is>
          <t>No subordinate debt and no third position</t>
        </is>
      </c>
    </row>
    <row r="152">
      <c r="A152" s="2" t="inlineStr">
        <is>
          <t>Capital Stack</t>
        </is>
      </c>
      <c r="B152" s="2" t="inlineStr">
        <is>
          <t>AP11</t>
        </is>
      </c>
      <c r="C152" s="2" t="inlineStr">
        <is>
          <t>N/A</t>
        </is>
      </c>
      <c r="D152" s="2" t="inlineStr">
        <is>
          <t>Sourced</t>
        </is>
      </c>
      <c r="E152" s="3" t="inlineStr">
        <is>
          <t>No subordinate debt and no third position</t>
        </is>
      </c>
    </row>
    <row r="153">
      <c r="A153" s="4" t="inlineStr">
        <is>
          <t>Capital Stack</t>
        </is>
      </c>
      <c r="B153" s="4" t="inlineStr">
        <is>
          <t>AD12</t>
        </is>
      </c>
      <c r="C153" s="4" t="n">
        <v>0</v>
      </c>
      <c r="D153" s="4" t="inlineStr">
        <is>
          <t>Derived</t>
        </is>
      </c>
      <c r="E153" s="5" t="inlineStr">
        <is>
          <t>ABF_2026Q3_PortfolioReview_vF.pdf S&amp;U: no sponsor equity line, Total Uses less senior = 0</t>
        </is>
      </c>
    </row>
    <row r="154">
      <c r="A154" s="2" t="inlineStr">
        <is>
          <t>Capital Stack</t>
        </is>
      </c>
      <c r="B154" s="2" t="inlineStr">
        <is>
          <t>AE12</t>
        </is>
      </c>
      <c r="C154" s="2" t="n">
        <v>0</v>
      </c>
      <c r="D154" s="2" t="inlineStr">
        <is>
          <t>Sourced</t>
        </is>
      </c>
      <c r="E154" s="3" t="inlineStr">
        <is>
          <t>Same convention as rows 5-6</t>
        </is>
      </c>
    </row>
    <row r="155">
      <c r="A155" s="4" t="inlineStr">
        <is>
          <t>Capital Stack</t>
        </is>
      </c>
      <c r="B155" s="4" t="inlineStr">
        <is>
          <t>AF12</t>
        </is>
      </c>
      <c r="C155" s="4" t="n">
        <v>100</v>
      </c>
      <c r="D155" s="4" t="inlineStr">
        <is>
          <t>Sourced</t>
        </is>
      </c>
      <c r="E155" s="5" t="inlineStr">
        <is>
          <t>Same convention as rows 5-6</t>
        </is>
      </c>
    </row>
    <row r="156">
      <c r="A156" s="2" t="inlineStr">
        <is>
          <t>Capital Stack</t>
        </is>
      </c>
      <c r="B156" s="2" t="inlineStr">
        <is>
          <t>AG12</t>
        </is>
      </c>
      <c r="C156" s="2" t="inlineStr">
        <is>
          <t>N/A</t>
        </is>
      </c>
      <c r="D156" s="2" t="inlineStr">
        <is>
          <t>Sourced</t>
        </is>
      </c>
      <c r="E156" s="3" t="inlineStr">
        <is>
          <t>No subordinate debt and no third position</t>
        </is>
      </c>
    </row>
    <row r="157">
      <c r="A157" s="4" t="inlineStr">
        <is>
          <t>Capital Stack</t>
        </is>
      </c>
      <c r="B157" s="4" t="inlineStr">
        <is>
          <t>AH12</t>
        </is>
      </c>
      <c r="C157" s="4" t="inlineStr">
        <is>
          <t>N/A</t>
        </is>
      </c>
      <c r="D157" s="4" t="inlineStr">
        <is>
          <t>Sourced</t>
        </is>
      </c>
      <c r="E157" s="5" t="inlineStr">
        <is>
          <t>No subordinate debt and no third position</t>
        </is>
      </c>
    </row>
    <row r="158">
      <c r="A158" s="2" t="inlineStr">
        <is>
          <t>Capital Stack</t>
        </is>
      </c>
      <c r="B158" s="2" t="inlineStr">
        <is>
          <t>AI12</t>
        </is>
      </c>
      <c r="C158" s="2" t="inlineStr">
        <is>
          <t>N/A</t>
        </is>
      </c>
      <c r="D158" s="2" t="inlineStr">
        <is>
          <t>Sourced</t>
        </is>
      </c>
      <c r="E158" s="3" t="inlineStr">
        <is>
          <t>No subordinate debt and no third position</t>
        </is>
      </c>
    </row>
    <row r="159">
      <c r="A159" s="4" t="inlineStr">
        <is>
          <t>Capital Stack</t>
        </is>
      </c>
      <c r="B159" s="4" t="inlineStr">
        <is>
          <t>AJ12</t>
        </is>
      </c>
      <c r="C159" s="4" t="inlineStr">
        <is>
          <t>N/A</t>
        </is>
      </c>
      <c r="D159" s="4" t="inlineStr">
        <is>
          <t>Sourced</t>
        </is>
      </c>
      <c r="E159" s="5" t="inlineStr">
        <is>
          <t>No subordinate debt and no third position</t>
        </is>
      </c>
    </row>
    <row r="160">
      <c r="A160" s="2" t="inlineStr">
        <is>
          <t>Capital Stack</t>
        </is>
      </c>
      <c r="B160" s="2" t="inlineStr">
        <is>
          <t>AK12</t>
        </is>
      </c>
      <c r="C160" s="2" t="inlineStr">
        <is>
          <t>N/A</t>
        </is>
      </c>
      <c r="D160" s="2" t="inlineStr">
        <is>
          <t>Sourced</t>
        </is>
      </c>
      <c r="E160" s="3" t="inlineStr">
        <is>
          <t>No subordinate debt and no third position</t>
        </is>
      </c>
    </row>
    <row r="161">
      <c r="A161" s="4" t="inlineStr">
        <is>
          <t>Capital Stack</t>
        </is>
      </c>
      <c r="B161" s="4" t="inlineStr">
        <is>
          <t>AL12</t>
        </is>
      </c>
      <c r="C161" s="4" t="inlineStr">
        <is>
          <t>N/A</t>
        </is>
      </c>
      <c r="D161" s="4" t="inlineStr">
        <is>
          <t>Sourced</t>
        </is>
      </c>
      <c r="E161" s="5" t="inlineStr">
        <is>
          <t>No subordinate debt and no third position</t>
        </is>
      </c>
    </row>
    <row r="162">
      <c r="A162" s="2" t="inlineStr">
        <is>
          <t>Capital Stack</t>
        </is>
      </c>
      <c r="B162" s="2" t="inlineStr">
        <is>
          <t>AM12</t>
        </is>
      </c>
      <c r="C162" s="2" t="inlineStr">
        <is>
          <t>N/A</t>
        </is>
      </c>
      <c r="D162" s="2" t="inlineStr">
        <is>
          <t>Sourced</t>
        </is>
      </c>
      <c r="E162" s="3" t="inlineStr">
        <is>
          <t>No subordinate debt and no third position</t>
        </is>
      </c>
    </row>
    <row r="163">
      <c r="A163" s="4" t="inlineStr">
        <is>
          <t>Capital Stack</t>
        </is>
      </c>
      <c r="B163" s="4" t="inlineStr">
        <is>
          <t>AN12</t>
        </is>
      </c>
      <c r="C163" s="4" t="inlineStr">
        <is>
          <t>N/A</t>
        </is>
      </c>
      <c r="D163" s="4" t="inlineStr">
        <is>
          <t>Sourced</t>
        </is>
      </c>
      <c r="E163" s="5" t="inlineStr">
        <is>
          <t>No subordinate debt and no third position</t>
        </is>
      </c>
    </row>
    <row r="164">
      <c r="A164" s="2" t="inlineStr">
        <is>
          <t>Capital Stack</t>
        </is>
      </c>
      <c r="B164" s="2" t="inlineStr">
        <is>
          <t>AO12</t>
        </is>
      </c>
      <c r="C164" s="2" t="inlineStr">
        <is>
          <t>N/A</t>
        </is>
      </c>
      <c r="D164" s="2" t="inlineStr">
        <is>
          <t>Sourced</t>
        </is>
      </c>
      <c r="E164" s="3" t="inlineStr">
        <is>
          <t>No subordinate debt and no third position</t>
        </is>
      </c>
    </row>
    <row r="165">
      <c r="A165" s="4" t="inlineStr">
        <is>
          <t>Capital Stack</t>
        </is>
      </c>
      <c r="B165" s="4" t="inlineStr">
        <is>
          <t>AP12</t>
        </is>
      </c>
      <c r="C165" s="4" t="inlineStr">
        <is>
          <t>N/A</t>
        </is>
      </c>
      <c r="D165" s="4" t="inlineStr">
        <is>
          <t>Sourced</t>
        </is>
      </c>
      <c r="E165" s="5" t="inlineStr">
        <is>
          <t>No subordinate debt and no third position</t>
        </is>
      </c>
    </row>
    <row r="166">
      <c r="A166" s="2" t="inlineStr">
        <is>
          <t>Capital Stack</t>
        </is>
      </c>
      <c r="B166" s="2" t="inlineStr">
        <is>
          <t>AJ13</t>
        </is>
      </c>
      <c r="C166" s="2" t="inlineStr">
        <is>
          <t>Common Equity</t>
        </is>
      </c>
      <c r="D166" s="2" t="inlineStr">
        <is>
          <t>Sourced</t>
        </is>
      </c>
      <c r="E166" s="3" t="inlineStr">
        <is>
          <t>Arista: third position per sheet convention</t>
        </is>
      </c>
    </row>
    <row r="167">
      <c r="A167" s="4" t="inlineStr">
        <is>
          <t>Capital Stack</t>
        </is>
      </c>
      <c r="B167" s="4" t="inlineStr">
        <is>
          <t>AK13</t>
        </is>
      </c>
      <c r="C167" s="4" t="n">
        <v>0</v>
      </c>
      <c r="D167" s="4" t="inlineStr">
        <is>
          <t>Derived</t>
        </is>
      </c>
      <c r="E167" s="5" t="inlineStr">
        <is>
          <t>ABF_2026Q3_PortfolioReview_vF.pdf Arista S&amp;U: Sponsor Equity '-', Total Uses $52.0M less senior and second position = 0</t>
        </is>
      </c>
    </row>
    <row r="168">
      <c r="A168" s="2" t="inlineStr">
        <is>
          <t>Capital Stack</t>
        </is>
      </c>
      <c r="B168" s="2" t="inlineStr">
        <is>
          <t>AL13</t>
        </is>
      </c>
      <c r="C168" s="2" t="inlineStr">
        <is>
          <t>N/A</t>
        </is>
      </c>
      <c r="D168" s="2" t="inlineStr">
        <is>
          <t>Sourced</t>
        </is>
      </c>
      <c r="E168" s="3" t="inlineStr">
        <is>
          <t>No third position metrics (sponsor equity, no spread)</t>
        </is>
      </c>
    </row>
    <row r="169">
      <c r="A169" s="4" t="inlineStr">
        <is>
          <t>Capital Stack</t>
        </is>
      </c>
      <c r="B169" s="4" t="inlineStr">
        <is>
          <t>AM13</t>
        </is>
      </c>
      <c r="C169" s="4" t="inlineStr">
        <is>
          <t>N/A</t>
        </is>
      </c>
      <c r="D169" s="4" t="inlineStr">
        <is>
          <t>Sourced</t>
        </is>
      </c>
      <c r="E169" s="5" t="inlineStr">
        <is>
          <t>No third position metrics (sponsor equity, no spread)</t>
        </is>
      </c>
    </row>
    <row r="170">
      <c r="A170" s="2" t="inlineStr">
        <is>
          <t>Capital Stack</t>
        </is>
      </c>
      <c r="B170" s="2" t="inlineStr">
        <is>
          <t>AN13</t>
        </is>
      </c>
      <c r="C170" s="2" t="inlineStr">
        <is>
          <t>N/A</t>
        </is>
      </c>
      <c r="D170" s="2" t="inlineStr">
        <is>
          <t>Sourced</t>
        </is>
      </c>
      <c r="E170" s="3" t="inlineStr">
        <is>
          <t>No third position metrics (sponsor equity, no spread)</t>
        </is>
      </c>
    </row>
    <row r="171">
      <c r="A171" s="4" t="inlineStr">
        <is>
          <t>Capital Stack</t>
        </is>
      </c>
      <c r="B171" s="4" t="inlineStr">
        <is>
          <t>AO13</t>
        </is>
      </c>
      <c r="C171" s="4" t="inlineStr">
        <is>
          <t>N/A</t>
        </is>
      </c>
      <c r="D171" s="4" t="inlineStr">
        <is>
          <t>Sourced</t>
        </is>
      </c>
      <c r="E171" s="5" t="inlineStr">
        <is>
          <t>No third position metrics (sponsor equity, no spread)</t>
        </is>
      </c>
    </row>
    <row r="172">
      <c r="A172" s="2" t="inlineStr">
        <is>
          <t>Capital Stack</t>
        </is>
      </c>
      <c r="B172" s="2" t="inlineStr">
        <is>
          <t>AP13</t>
        </is>
      </c>
      <c r="C172" s="2" t="inlineStr">
        <is>
          <t>N/A</t>
        </is>
      </c>
      <c r="D172" s="2" t="inlineStr">
        <is>
          <t>Sourced</t>
        </is>
      </c>
      <c r="E172" s="3" t="inlineStr">
        <is>
          <t>No third position metrics (sponsor equity, no spread)</t>
        </is>
      </c>
    </row>
    <row r="173">
      <c r="A173" s="4" t="inlineStr">
        <is>
          <t>Capital Stack</t>
        </is>
      </c>
      <c r="B173" s="4" t="inlineStr">
        <is>
          <t>AB14</t>
        </is>
      </c>
      <c r="C173" s="4" t="n">
        <v>0.0175</v>
      </c>
      <c r="D173" s="4" t="inlineStr">
        <is>
          <t>Sourced</t>
        </is>
      </c>
      <c r="E173" s="5" t="inlineStr">
        <is>
          <t>ABF_2026Q3_PortfolioReview_vF.pdf p.439/441: Santander repo SOFR + 1.75% (floor 1.50%), 70% advance</t>
        </is>
      </c>
    </row>
    <row r="174">
      <c r="A174" s="2" t="inlineStr">
        <is>
          <t>Capital Stack</t>
        </is>
      </c>
      <c r="B174" s="2" t="inlineStr">
        <is>
          <t>S15</t>
        </is>
      </c>
      <c r="C174" s="2" t="n">
        <v>268000000</v>
      </c>
      <c r="D174" s="2" t="inlineStr">
        <is>
          <t>Sourced</t>
        </is>
      </c>
      <c r="E174" s="3" t="inlineStr">
        <is>
          <t>Crystal Springs_IC Memo_vF.pdf p.9 Sources &amp; Uses total (incl. $25M future capex equity; $243M at closing)</t>
        </is>
      </c>
    </row>
    <row r="175">
      <c r="A175" s="4" t="inlineStr">
        <is>
          <t>Capital Stack</t>
        </is>
      </c>
      <c r="B175" s="4" t="inlineStr">
        <is>
          <t>T15</t>
        </is>
      </c>
      <c r="C175" s="4" t="n">
        <v>232000000</v>
      </c>
      <c r="D175" s="4" t="inlineStr">
        <is>
          <t>Derived</t>
        </is>
      </c>
      <c r="E175" s="5" t="inlineStr">
        <is>
          <t>Implied: $131M / 56.5% appraised LTV on IC memo CM page (equals South Street $232M purchase price). No standalone appraisal found, verify</t>
        </is>
      </c>
    </row>
    <row r="176">
      <c r="A176" s="2" t="inlineStr">
        <is>
          <t>Capital Stack</t>
        </is>
      </c>
      <c r="B176" s="2" t="inlineStr">
        <is>
          <t>U15</t>
        </is>
      </c>
      <c r="C176" s="2" t="n">
        <v>204950000</v>
      </c>
      <c r="D176" s="2" t="inlineStr">
        <is>
          <t>Sourced</t>
        </is>
      </c>
      <c r="E176" s="3" t="inlineStr">
        <is>
          <t>Crystal Springs_IC Memo_vF.pdf p.35 SSP UW Stab. Untrended Value</t>
        </is>
      </c>
    </row>
    <row r="177">
      <c r="A177" s="4" t="inlineStr">
        <is>
          <t>Capital Stack</t>
        </is>
      </c>
      <c r="B177" s="4" t="inlineStr">
        <is>
          <t>AK15</t>
        </is>
      </c>
      <c r="C177" s="4" t="n">
        <v>114000000</v>
      </c>
      <c r="D177" s="4" t="inlineStr">
        <is>
          <t>Sourced</t>
        </is>
      </c>
      <c r="E177" s="5" t="inlineStr">
        <is>
          <t>Crystal Springs_IC Memo_vF.pdf p.9 S&amp;U: Sponsor Equity $89M closing + $25M future; foots 131 + 23 + 114 = 268</t>
        </is>
      </c>
    </row>
    <row r="178">
      <c r="A178" s="2" t="inlineStr">
        <is>
          <t>Capital Stack</t>
        </is>
      </c>
      <c r="B178" s="2" t="inlineStr">
        <is>
          <t>S16</t>
        </is>
      </c>
      <c r="C178" s="2" t="n">
        <v>71020944</v>
      </c>
      <c r="D178" s="2" t="inlineStr">
        <is>
          <t>Sourced</t>
        </is>
      </c>
      <c r="E178" s="3" t="inlineStr">
        <is>
          <t>Alpine Village PR.pptx Capital Structure: Total Sources/Uses $71,020,944</t>
        </is>
      </c>
    </row>
    <row r="179">
      <c r="A179" s="4" t="inlineStr">
        <is>
          <t>Capital Stack</t>
        </is>
      </c>
      <c r="B179" s="4" t="inlineStr">
        <is>
          <t>T16</t>
        </is>
      </c>
      <c r="C179" s="4" t="n">
        <v>76000000</v>
      </c>
      <c r="D179" s="6" t="inlineStr">
        <is>
          <t>Verify</t>
        </is>
      </c>
      <c r="E179" s="5" t="inlineStr">
        <is>
          <t>Alpine Village_IC Memo_7.13.26.pdf slide 8: CBRE draft as-is value $76.0M. Draft appraisal, final not found</t>
        </is>
      </c>
    </row>
    <row r="180">
      <c r="A180" s="2" t="inlineStr">
        <is>
          <t>Capital Stack</t>
        </is>
      </c>
      <c r="B180" s="2" t="inlineStr">
        <is>
          <t>U16</t>
        </is>
      </c>
      <c r="C180" s="2" t="n">
        <v>76900000</v>
      </c>
      <c r="D180" s="2" t="inlineStr">
        <is>
          <t>Sourced</t>
        </is>
      </c>
      <c r="E180" s="3" t="inlineStr">
        <is>
          <t>Alpine Village_IC Memo_7.13.26.pdf slide 2: untrended stabilized value $76.9M</t>
        </is>
      </c>
    </row>
    <row r="181">
      <c r="A181" s="4" t="inlineStr">
        <is>
          <t>Capital Stack</t>
        </is>
      </c>
      <c r="B181" s="4" t="inlineStr">
        <is>
          <t>AK16</t>
        </is>
      </c>
      <c r="C181" s="4" t="n">
        <v>2020944</v>
      </c>
      <c r="D181" s="4" t="inlineStr">
        <is>
          <t>Sourced</t>
        </is>
      </c>
      <c r="E181" s="5" t="inlineStr">
        <is>
          <t>Alpine Village PR.pptx S&amp;U: Sponsor Equity $2,020,944 (new equity; IC memo notes $35.6M retained original equity)</t>
        </is>
      </c>
    </row>
    <row r="182">
      <c r="A182" s="2" t="inlineStr">
        <is>
          <t>Capital Stack</t>
        </is>
      </c>
      <c r="B182" s="2" t="inlineStr">
        <is>
          <t>S17</t>
        </is>
      </c>
      <c r="C182" s="2" t="n">
        <v>533751241</v>
      </c>
      <c r="D182" s="2" t="inlineStr">
        <is>
          <t>Sourced</t>
        </is>
      </c>
      <c r="E182" s="3" t="inlineStr">
        <is>
          <t>Highland Portfolio IC Memo 7.26.2026.pdf S&amp;U total: $445M senior + $80M mezz + $8.75M sponsor equity</t>
        </is>
      </c>
    </row>
    <row r="183">
      <c r="A183" s="4" t="inlineStr">
        <is>
          <t>Capital Stack</t>
        </is>
      </c>
      <c r="B183" s="4" t="inlineStr">
        <is>
          <t>T17</t>
        </is>
      </c>
      <c r="C183" s="4" t="n">
        <v>807692000</v>
      </c>
      <c r="D183" s="4" t="inlineStr">
        <is>
          <t>Sourced</t>
        </is>
      </c>
      <c r="E183" s="5" t="inlineStr">
        <is>
          <t>Highland IC memo: appraised value $807,692K (525M / 807.7M = 65.0% LTV)</t>
        </is>
      </c>
    </row>
    <row r="184">
      <c r="A184" s="2" t="inlineStr">
        <is>
          <t>Capital Stack</t>
        </is>
      </c>
      <c r="B184" s="2" t="inlineStr">
        <is>
          <t>U17</t>
        </is>
      </c>
      <c r="C184" s="2" t="n">
        <v>616000000</v>
      </c>
      <c r="D184" s="2" t="inlineStr">
        <is>
          <t>Sourced</t>
        </is>
      </c>
      <c r="E184" s="3" t="inlineStr">
        <is>
          <t>Highland IC memo Portfolio Valuation: SSP as-is value $616M (8.65% cap)</t>
        </is>
      </c>
    </row>
    <row r="185">
      <c r="A185" s="4" t="inlineStr">
        <is>
          <t>Capital Stack</t>
        </is>
      </c>
      <c r="B185" s="4" t="inlineStr">
        <is>
          <t>AK17</t>
        </is>
      </c>
      <c r="C185" s="4" t="n">
        <v>8751241</v>
      </c>
      <c r="D185" s="4" t="inlineStr">
        <is>
          <t>Sourced</t>
        </is>
      </c>
      <c r="E185" s="5" t="inlineStr">
        <is>
          <t>Highland IC memo S&amp;U: Sponsor Equity $8,751,241</t>
        </is>
      </c>
    </row>
    <row r="186">
      <c r="A186" s="2" t="inlineStr">
        <is>
          <t>Capital Stack</t>
        </is>
      </c>
      <c r="B186" s="2" t="inlineStr">
        <is>
          <t>AA15</t>
        </is>
      </c>
      <c r="C186" s="2">
        <f>W15/T15*100</f>
        <v/>
      </c>
      <c r="D186" s="2" t="inlineStr">
        <is>
          <t>Formula</t>
        </is>
      </c>
      <c r="E186" s="3" t="inlineStr">
        <is>
          <t>Same formula convention as AA4, AA18</t>
        </is>
      </c>
    </row>
    <row r="187">
      <c r="A187" s="4" t="inlineStr">
        <is>
          <t>Capital Stack</t>
        </is>
      </c>
      <c r="B187" s="4" t="inlineStr">
        <is>
          <t>AH15</t>
        </is>
      </c>
      <c r="C187" s="4">
        <f>(W15+AD15)/T15*100</f>
        <v/>
      </c>
      <c r="D187" s="4" t="inlineStr">
        <is>
          <t>Formula</t>
        </is>
      </c>
      <c r="E187" s="5" t="inlineStr">
        <is>
          <t>Same formula convention as AH18</t>
        </is>
      </c>
    </row>
    <row r="188">
      <c r="A188" s="2" t="inlineStr">
        <is>
          <t>Capital Stack</t>
        </is>
      </c>
      <c r="B188" s="2" t="inlineStr">
        <is>
          <t>AP15</t>
        </is>
      </c>
      <c r="C188" s="2" t="inlineStr">
        <is>
          <t>N/A</t>
        </is>
      </c>
      <c r="D188" s="2" t="inlineStr">
        <is>
          <t>Sourced</t>
        </is>
      </c>
      <c r="E188" s="3" t="inlineStr">
        <is>
          <t>Common equity has no spread</t>
        </is>
      </c>
    </row>
    <row r="189">
      <c r="A189" s="4" t="inlineStr">
        <is>
          <t>Capital Stack</t>
        </is>
      </c>
      <c r="B189" s="4" t="inlineStr">
        <is>
          <t>AA16</t>
        </is>
      </c>
      <c r="C189" s="4">
        <f>W16/T16*100</f>
        <v/>
      </c>
      <c r="D189" s="4" t="inlineStr">
        <is>
          <t>Formula</t>
        </is>
      </c>
      <c r="E189" s="5" t="inlineStr">
        <is>
          <t>Same formula convention as AA4, AA18</t>
        </is>
      </c>
    </row>
    <row r="190">
      <c r="A190" s="2" t="inlineStr">
        <is>
          <t>Capital Stack</t>
        </is>
      </c>
      <c r="B190" s="2" t="inlineStr">
        <is>
          <t>AH16</t>
        </is>
      </c>
      <c r="C190" s="2">
        <f>(W16+AD16)/T16*100</f>
        <v/>
      </c>
      <c r="D190" s="2" t="inlineStr">
        <is>
          <t>Formula</t>
        </is>
      </c>
      <c r="E190" s="3" t="inlineStr">
        <is>
          <t>Same formula convention as AH18</t>
        </is>
      </c>
    </row>
    <row r="191">
      <c r="A191" s="4" t="inlineStr">
        <is>
          <t>Capital Stack</t>
        </is>
      </c>
      <c r="B191" s="4" t="inlineStr">
        <is>
          <t>AP16</t>
        </is>
      </c>
      <c r="C191" s="4" t="inlineStr">
        <is>
          <t>N/A</t>
        </is>
      </c>
      <c r="D191" s="4" t="inlineStr">
        <is>
          <t>Sourced</t>
        </is>
      </c>
      <c r="E191" s="5" t="inlineStr">
        <is>
          <t>Common equity has no spread</t>
        </is>
      </c>
    </row>
    <row r="192">
      <c r="A192" s="2" t="inlineStr">
        <is>
          <t>Capital Stack</t>
        </is>
      </c>
      <c r="B192" s="2" t="inlineStr">
        <is>
          <t>AA17</t>
        </is>
      </c>
      <c r="C192" s="2">
        <f>W17/T17*100</f>
        <v/>
      </c>
      <c r="D192" s="2" t="inlineStr">
        <is>
          <t>Formula</t>
        </is>
      </c>
      <c r="E192" s="3" t="inlineStr">
        <is>
          <t>Same formula convention as AA4, AA18</t>
        </is>
      </c>
    </row>
    <row r="193">
      <c r="A193" s="4" t="inlineStr">
        <is>
          <t>Capital Stack</t>
        </is>
      </c>
      <c r="B193" s="4" t="inlineStr">
        <is>
          <t>AH17</t>
        </is>
      </c>
      <c r="C193" s="4">
        <f>(W17+AD17)/T17*100</f>
        <v/>
      </c>
      <c r="D193" s="4" t="inlineStr">
        <is>
          <t>Formula</t>
        </is>
      </c>
      <c r="E193" s="5" t="inlineStr">
        <is>
          <t>Same formula convention as AH18</t>
        </is>
      </c>
    </row>
    <row r="194">
      <c r="A194" s="2" t="inlineStr">
        <is>
          <t>Capital Stack</t>
        </is>
      </c>
      <c r="B194" s="2" t="inlineStr">
        <is>
          <t>AP17</t>
        </is>
      </c>
      <c r="C194" s="2" t="inlineStr">
        <is>
          <t>N/A</t>
        </is>
      </c>
      <c r="D194" s="2" t="inlineStr">
        <is>
          <t>Sourced</t>
        </is>
      </c>
      <c r="E194" s="3" t="inlineStr">
        <is>
          <t>Common equity has no spread</t>
        </is>
      </c>
    </row>
    <row r="195">
      <c r="A195" s="4" t="inlineStr">
        <is>
          <t>Capital Stack</t>
        </is>
      </c>
      <c r="B195" s="4" t="inlineStr">
        <is>
          <t>AP18</t>
        </is>
      </c>
      <c r="C195" s="4" t="inlineStr">
        <is>
          <t>N/A</t>
        </is>
      </c>
      <c r="D195" s="4" t="inlineStr">
        <is>
          <t>Sourced</t>
        </is>
      </c>
      <c r="E195" s="5" t="inlineStr">
        <is>
          <t>Common equity or none, no spread</t>
        </is>
      </c>
    </row>
    <row r="196">
      <c r="A196" s="2" t="inlineStr">
        <is>
          <t>Capital Stack</t>
        </is>
      </c>
      <c r="B196" s="2" t="inlineStr">
        <is>
          <t>L19</t>
        </is>
      </c>
      <c r="C196" s="2" t="n">
        <v>0</v>
      </c>
      <c r="D196" s="6" t="inlineStr">
        <is>
          <t>Verify</t>
        </is>
      </c>
      <c r="E196" s="3" t="inlineStr">
        <is>
          <t>ABF_2026Q3_PortfolioReview_vF.pdf Scarlet Bay: SSRC preferred equity sits entirely in the Future column (consistent with I19 = 0); Valcom shows $7.0M invested in 2025, confirm</t>
        </is>
      </c>
    </row>
    <row r="197">
      <c r="A197" s="4" t="inlineStr">
        <is>
          <t>Capital Stack</t>
        </is>
      </c>
      <c r="B197" s="4" t="inlineStr">
        <is>
          <t>M19</t>
        </is>
      </c>
      <c r="C197" s="4" t="n">
        <v>30521975</v>
      </c>
      <c r="D197" s="4" t="inlineStr">
        <is>
          <t>Derived</t>
        </is>
      </c>
      <c r="E197" s="5" t="inlineStr">
        <is>
          <t>ABF_2026Q3_PortfolioReview_vF.pdf p.404-407 Investment Funded to Date: Paragon $13,482,090 + 3200 West Moore $17,039,885 (8/31/2026)</t>
        </is>
      </c>
    </row>
    <row r="198">
      <c r="A198" s="2" t="inlineStr">
        <is>
          <t>Capital Stack</t>
        </is>
      </c>
      <c r="B198" s="2" t="inlineStr">
        <is>
          <t>N19</t>
        </is>
      </c>
      <c r="C198" s="2" t="n">
        <v>30521975</v>
      </c>
      <c r="D198" s="2" t="inlineStr">
        <is>
          <t>Derived</t>
        </is>
      </c>
      <c r="E198" s="3" t="inlineStr">
        <is>
          <t>Same as M (duplicate column)</t>
        </is>
      </c>
    </row>
    <row r="199">
      <c r="A199" s="4" t="inlineStr">
        <is>
          <t>Capital Stack</t>
        </is>
      </c>
      <c r="B199" s="4" t="inlineStr">
        <is>
          <t>Q19</t>
        </is>
      </c>
      <c r="C199" s="4" t="inlineStr">
        <is>
          <t>N/A</t>
        </is>
      </c>
      <c r="D199" s="4" t="inlineStr">
        <is>
          <t>Sourced</t>
        </is>
      </c>
      <c r="E199" s="5" t="inlineStr">
        <is>
          <t>P19 = Structural; no back-leverage lender on SSP position (senior construction lenders are Salem Five and TD Bank)</t>
        </is>
      </c>
    </row>
    <row r="200">
      <c r="A200" s="2" t="inlineStr">
        <is>
          <t>Capital Stack</t>
        </is>
      </c>
      <c r="B200" s="2" t="inlineStr">
        <is>
          <t>AP19</t>
        </is>
      </c>
      <c r="C200" s="2" t="inlineStr">
        <is>
          <t>N/A</t>
        </is>
      </c>
      <c r="D200" s="2" t="inlineStr">
        <is>
          <t>Sourced</t>
        </is>
      </c>
      <c r="E200" s="3" t="inlineStr">
        <is>
          <t>Common equity, no spread</t>
        </is>
      </c>
    </row>
    <row r="201">
      <c r="A201" s="4" t="inlineStr">
        <is>
          <t>Capital Stack</t>
        </is>
      </c>
      <c r="B201" s="4" t="inlineStr">
        <is>
          <t>U20</t>
        </is>
      </c>
      <c r="C201" s="4" t="n">
        <v>287402000</v>
      </c>
      <c r="D201" s="4" t="inlineStr">
        <is>
          <t>Sourced</t>
        </is>
      </c>
      <c r="E201" s="5" t="inlineStr">
        <is>
          <t>Royalton vIC v05.pdf valuation page: as-stabilized value $287,402K (IC Jan 2026, 2025 dollars, incl. ICAP benefit)</t>
        </is>
      </c>
    </row>
    <row r="202">
      <c r="A202" s="2" t="inlineStr">
        <is>
          <t>Capital Stack</t>
        </is>
      </c>
      <c r="B202" s="2" t="inlineStr">
        <is>
          <t>AP20</t>
        </is>
      </c>
      <c r="C202" s="2" t="inlineStr">
        <is>
          <t>N/A</t>
        </is>
      </c>
      <c r="D202" s="2" t="inlineStr">
        <is>
          <t>Sourced</t>
        </is>
      </c>
      <c r="E202" s="3" t="inlineStr">
        <is>
          <t>Sponsor equity, no spread</t>
        </is>
      </c>
    </row>
    <row r="203">
      <c r="A203" s="4" t="inlineStr">
        <is>
          <t>Capital Stack</t>
        </is>
      </c>
      <c r="B203" s="4" t="inlineStr">
        <is>
          <t>R21</t>
        </is>
      </c>
      <c r="C203" s="4">
        <f>R20</f>
        <v/>
      </c>
      <c r="D203" s="4" t="inlineStr">
        <is>
          <t>Link</t>
        </is>
      </c>
      <c r="E203" s="5" t="inlineStr">
        <is>
          <t>Deal level capitalization identical to Royalton Whole Loan (row 20)</t>
        </is>
      </c>
    </row>
    <row r="204">
      <c r="A204" s="2" t="inlineStr">
        <is>
          <t>Capital Stack</t>
        </is>
      </c>
      <c r="B204" s="2" t="inlineStr">
        <is>
          <t>S21</t>
        </is>
      </c>
      <c r="C204" s="2">
        <f>S20</f>
        <v/>
      </c>
      <c r="D204" s="2" t="inlineStr">
        <is>
          <t>Link</t>
        </is>
      </c>
      <c r="E204" s="3" t="inlineStr">
        <is>
          <t>Deal level capitalization identical to Royalton Whole Loan (row 20)</t>
        </is>
      </c>
    </row>
    <row r="205">
      <c r="A205" s="4" t="inlineStr">
        <is>
          <t>Capital Stack</t>
        </is>
      </c>
      <c r="B205" s="4" t="inlineStr">
        <is>
          <t>T21</t>
        </is>
      </c>
      <c r="C205" s="4">
        <f>T20</f>
        <v/>
      </c>
      <c r="D205" s="4" t="inlineStr">
        <is>
          <t>Link</t>
        </is>
      </c>
      <c r="E205" s="5" t="inlineStr">
        <is>
          <t>Deal level capitalization identical to Royalton Whole Loan (row 20)</t>
        </is>
      </c>
    </row>
    <row r="206">
      <c r="A206" s="2" t="inlineStr">
        <is>
          <t>Capital Stack</t>
        </is>
      </c>
      <c r="B206" s="2" t="inlineStr">
        <is>
          <t>U21</t>
        </is>
      </c>
      <c r="C206" s="2">
        <f>U20</f>
        <v/>
      </c>
      <c r="D206" s="2" t="inlineStr">
        <is>
          <t>Link</t>
        </is>
      </c>
      <c r="E206" s="3" t="inlineStr">
        <is>
          <t>Deal level capitalization identical to Royalton Whole Loan (row 20)</t>
        </is>
      </c>
    </row>
    <row r="207">
      <c r="A207" s="4" t="inlineStr">
        <is>
          <t>Loan Data</t>
        </is>
      </c>
      <c r="B207" s="4" t="inlineStr">
        <is>
          <t>DB23</t>
        </is>
      </c>
      <c r="C207" s="4" t="n">
        <v>45637589</v>
      </c>
      <c r="D207" s="6" t="inlineStr">
        <is>
          <t>Verify</t>
        </is>
      </c>
      <c r="E207" s="5" t="inlineStr">
        <is>
          <t>ABF_2026Q3_PortfolioReview_vF.pdf HLTN 2026-DPLO, Historical Financials &amp; Underwriting (PR slide 501, text ~line 42460-42520), column Feb-26 TTM, NET CASH FLOW $45,637,589 | Deal-level (collateral = Diplomat, 1,000 keys); same for Classes B/C/D. PR prints no NOI line for HLTN, only NET CASH FLOW (= EBITDA less 4% FF&amp;E reserve, no capex line), so this is used as the NOI-equivalent (KSL NOI = EBITDA less FF&amp;E in same format). Unadjusted TTM Feb-26 (renovation disruption). OC adjusted TTM Feb-26 hotel NCF is $60,777,424 (HLTN OC term sheet comparison), not used.</t>
        </is>
      </c>
    </row>
    <row r="208">
      <c r="A208" s="2" t="inlineStr">
        <is>
          <t>Loan Data</t>
        </is>
      </c>
      <c r="B208" s="2" t="inlineStr">
        <is>
          <t>DB24</t>
        </is>
      </c>
      <c r="C208" s="2" t="n">
        <v>45637589</v>
      </c>
      <c r="D208" s="6" t="inlineStr">
        <is>
          <t>Verify</t>
        </is>
      </c>
      <c r="E208" s="3" t="inlineStr">
        <is>
          <t>ABF_2026Q3_PortfolioReview_vF.pdf HLTN 2026-DPLO, Historical Financials &amp; Underwriting (PR slide 501, text ~line 42460-42520), column Feb-26 TTM, NET CASH FLOW $45,637,589 | Deal-level (collateral = Diplomat, 1,000 keys); same for Classes B/C/D. PR prints no NOI line for HLTN, only NET CASH FLOW (= EBITDA less 4% FF&amp;E reserve, no capex line), so this is used as the NOI-equivalent (KSL NOI = EBITDA less FF&amp;E in same format). Unadjusted TTM Feb-26 (renovation disruption). OC adjusted TTM Feb-26 hotel NCF is $60,777,424 (HLTN OC term sheet comparison), not used.</t>
        </is>
      </c>
    </row>
    <row r="209">
      <c r="A209" s="4" t="inlineStr">
        <is>
          <t>Loan Data</t>
        </is>
      </c>
      <c r="B209" s="4" t="inlineStr">
        <is>
          <t>DB25</t>
        </is>
      </c>
      <c r="C209" s="4" t="n">
        <v>45637589</v>
      </c>
      <c r="D209" s="6" t="inlineStr">
        <is>
          <t>Verify</t>
        </is>
      </c>
      <c r="E209" s="5" t="inlineStr">
        <is>
          <t>ABF_2026Q3_PortfolioReview_vF.pdf HLTN 2026-DPLO, Historical Financials &amp; Underwriting (PR slide 501, text ~line 42460-42520), column Feb-26 TTM, NET CASH FLOW $45,637,589 | Deal-level (collateral = Diplomat, 1,000 keys); same for Classes B/C/D. PR prints no NOI line for HLTN, only NET CASH FLOW (= EBITDA less 4% FF&amp;E reserve, no capex line), so this is used as the NOI-equivalent (KSL NOI = EBITDA less FF&amp;E in same format). Unadjusted TTM Feb-26 (renovation disruption). OC adjusted TTM Feb-26 hotel NCF is $60,777,424 (HLTN OC term sheet comparison), not used.</t>
        </is>
      </c>
    </row>
    <row r="210">
      <c r="A210" s="2" t="inlineStr">
        <is>
          <t>Loan Data</t>
        </is>
      </c>
      <c r="B210" s="2" t="inlineStr">
        <is>
          <t>DC23</t>
        </is>
      </c>
      <c r="C210" s="2" t="n">
        <v>1.18</v>
      </c>
      <c r="D210" s="2" t="inlineStr">
        <is>
          <t>Sourced</t>
        </is>
      </c>
      <c r="E210" s="3" t="inlineStr">
        <is>
          <t>ABF_2026Q3_PortfolioReview_vF.pdf HLTN 2026-DPLO, Historical Financials &amp; Underwriting (PR slide 501, text ~line 42460-42520), column Feb-26 TTM, Whole Loan DSCR 1.18x | WHOLE LOAN DSCR, NCF basis, blended spread 264 bps whole loan (198 bps through IG classes) + NTM SOFR 3.98%, floating (not cap strike, not fully extended). Class-level DSCR through IG classes is 1.70x. Same for B/C/D.</t>
        </is>
      </c>
    </row>
    <row r="211">
      <c r="A211" s="4" t="inlineStr">
        <is>
          <t>Loan Data</t>
        </is>
      </c>
      <c r="B211" s="4" t="inlineStr">
        <is>
          <t>DC24</t>
        </is>
      </c>
      <c r="C211" s="4" t="n">
        <v>1.18</v>
      </c>
      <c r="D211" s="4" t="inlineStr">
        <is>
          <t>Sourced</t>
        </is>
      </c>
      <c r="E211" s="5" t="inlineStr">
        <is>
          <t>ABF_2026Q3_PortfolioReview_vF.pdf HLTN 2026-DPLO, Historical Financials &amp; Underwriting (PR slide 501, text ~line 42460-42520), column Feb-26 TTM, Whole Loan DSCR 1.18x | WHOLE LOAN DSCR, NCF basis, blended spread 264 bps whole loan (198 bps through IG classes) + NTM SOFR 3.98%, floating (not cap strike, not fully extended). Class-level DSCR through IG classes is 1.70x. Same for B/C/D.</t>
        </is>
      </c>
    </row>
    <row r="212">
      <c r="A212" s="2" t="inlineStr">
        <is>
          <t>Loan Data</t>
        </is>
      </c>
      <c r="B212" s="2" t="inlineStr">
        <is>
          <t>DC25</t>
        </is>
      </c>
      <c r="C212" s="2" t="n">
        <v>1.18</v>
      </c>
      <c r="D212" s="2" t="inlineStr">
        <is>
          <t>Sourced</t>
        </is>
      </c>
      <c r="E212" s="3" t="inlineStr">
        <is>
          <t>ABF_2026Q3_PortfolioReview_vF.pdf HLTN 2026-DPLO, Historical Financials &amp; Underwriting (PR slide 501, text ~line 42460-42520), column Feb-26 TTM, Whole Loan DSCR 1.18x | WHOLE LOAN DSCR, NCF basis, blended spread 264 bps whole loan (198 bps through IG classes) + NTM SOFR 3.98%, floating (not cap strike, not fully extended). Class-level DSCR through IG classes is 1.70x. Same for B/C/D.</t>
        </is>
      </c>
    </row>
    <row r="213">
      <c r="A213" s="4" t="inlineStr">
        <is>
          <t>Loan Data</t>
        </is>
      </c>
      <c r="B213" s="4" t="inlineStr">
        <is>
          <t>DD23</t>
        </is>
      </c>
      <c r="C213" s="4" t="n">
        <v>62056595</v>
      </c>
      <c r="D213" s="6" t="inlineStr">
        <is>
          <t>Verify</t>
        </is>
      </c>
      <c r="E213" s="5" t="inlineStr">
        <is>
          <t>ABF_2026Q3_PortfolioReview_vF.pdf HLTN 2026-DPLO, Historical Financials &amp; Underwriting (PR slide 501, text ~line 42460-42520), column Sixth Street Underwriting, NET CASH FLOW $62,056,595 (EBITDA $70,505,283 less FF&amp;E $8,448,688) | Deal-level (collateral = Diplomat, 1,000 keys); same for Classes B/C/D. PR prints no NOI line for HLTN, only NET CASH FLOW (= EBITDA less 4% FF&amp;E reserve, no capex line), so this is used as the NOI-equivalent (KSL NOI = EBITDA less FF&amp;E in same format). SSP UW NCF; supports the 7.50% cap / $827.42M UW value in U23. Lender-UW alternatives: OC UW NCF $57,452,574; JPM U</t>
        </is>
      </c>
    </row>
    <row r="214">
      <c r="A214" s="2" t="inlineStr">
        <is>
          <t>Loan Data</t>
        </is>
      </c>
      <c r="B214" s="2" t="inlineStr">
        <is>
          <t>DD24</t>
        </is>
      </c>
      <c r="C214" s="2" t="n">
        <v>62056595</v>
      </c>
      <c r="D214" s="6" t="inlineStr">
        <is>
          <t>Verify</t>
        </is>
      </c>
      <c r="E214" s="3" t="inlineStr">
        <is>
          <t>ABF_2026Q3_PortfolioReview_vF.pdf HLTN 2026-DPLO, Historical Financials &amp; Underwriting (PR slide 501, text ~line 42460-42520), column Sixth Street Underwriting, NET CASH FLOW $62,056,595 (EBITDA $70,505,283 less FF&amp;E $8,448,688) | Deal-level (collateral = Diplomat, 1,000 keys); same for Classes B/C/D. PR prints no NOI line for HLTN, only NET CASH FLOW (= EBITDA less 4% FF&amp;E reserve, no capex line), so this is used as the NOI-equivalent (KSL NOI = EBITDA less FF&amp;E in same format). SSP UW NCF; supports the 7.50% cap / $827.42M UW value in U23. Lender-UW alternatives: OC UW NCF $57,452,574; JPM U</t>
        </is>
      </c>
    </row>
    <row r="215">
      <c r="A215" s="4" t="inlineStr">
        <is>
          <t>Loan Data</t>
        </is>
      </c>
      <c r="B215" s="4" t="inlineStr">
        <is>
          <t>DD25</t>
        </is>
      </c>
      <c r="C215" s="4" t="n">
        <v>62056595</v>
      </c>
      <c r="D215" s="6" t="inlineStr">
        <is>
          <t>Verify</t>
        </is>
      </c>
      <c r="E215" s="5" t="inlineStr">
        <is>
          <t>ABF_2026Q3_PortfolioReview_vF.pdf HLTN 2026-DPLO, Historical Financials &amp; Underwriting (PR slide 501, text ~line 42460-42520), column Sixth Street Underwriting, NET CASH FLOW $62,056,595 (EBITDA $70,505,283 less FF&amp;E $8,448,688) | Deal-level (collateral = Diplomat, 1,000 keys); same for Classes B/C/D. PR prints no NOI line for HLTN, only NET CASH FLOW (= EBITDA less 4% FF&amp;E reserve, no capex line), so this is used as the NOI-equivalent (KSL NOI = EBITDA less FF&amp;E in same format). SSP UW NCF; supports the 7.50% cap / $827.42M UW value in U23. Lender-UW alternatives: OC UW NCF $57,452,574; JPM U</t>
        </is>
      </c>
    </row>
    <row r="216">
      <c r="A216" s="2" t="inlineStr">
        <is>
          <t>Loan Data</t>
        </is>
      </c>
      <c r="B216" s="2" t="inlineStr">
        <is>
          <t>DE23</t>
        </is>
      </c>
      <c r="C216" s="2" t="n">
        <v>1.61</v>
      </c>
      <c r="D216" s="2" t="inlineStr">
        <is>
          <t>Sourced</t>
        </is>
      </c>
      <c r="E216" s="3" t="inlineStr">
        <is>
          <t>ABF_2026Q3_PortfolioReview_vF.pdf HLTN 2026-DPLO, Historical Financials &amp; Underwriting (PR slide 501, text ~line 42460-42520), column Sixth Street Underwriting, Whole Loan DSCR 1.61x | WHOLE LOAN DSCR, NCF basis, blended 264 bps + NTM SOFR 3.98%. Class-level DSCR through IG classes 2.31x (198 bps). OC: 1.49x at SOFR 3.66% / 1.33x at 4.44% cap strike on lender UW NCF $57.45M.</t>
        </is>
      </c>
    </row>
    <row r="217">
      <c r="A217" s="4" t="inlineStr">
        <is>
          <t>Loan Data</t>
        </is>
      </c>
      <c r="B217" s="4" t="inlineStr">
        <is>
          <t>DE24</t>
        </is>
      </c>
      <c r="C217" s="4" t="n">
        <v>1.61</v>
      </c>
      <c r="D217" s="4" t="inlineStr">
        <is>
          <t>Sourced</t>
        </is>
      </c>
      <c r="E217" s="5" t="inlineStr">
        <is>
          <t>ABF_2026Q3_PortfolioReview_vF.pdf HLTN 2026-DPLO, Historical Financials &amp; Underwriting (PR slide 501, text ~line 42460-42520), column Sixth Street Underwriting, Whole Loan DSCR 1.61x | WHOLE LOAN DSCR, NCF basis, blended 264 bps + NTM SOFR 3.98%. Class-level DSCR through IG classes 2.31x (198 bps). OC: 1.49x at SOFR 3.66% / 1.33x at 4.44% cap strike on lender UW NCF $57.45M.</t>
        </is>
      </c>
    </row>
    <row r="218">
      <c r="A218" s="2" t="inlineStr">
        <is>
          <t>Loan Data</t>
        </is>
      </c>
      <c r="B218" s="2" t="inlineStr">
        <is>
          <t>DE25</t>
        </is>
      </c>
      <c r="C218" s="2" t="n">
        <v>1.61</v>
      </c>
      <c r="D218" s="2" t="inlineStr">
        <is>
          <t>Sourced</t>
        </is>
      </c>
      <c r="E218" s="3" t="inlineStr">
        <is>
          <t>ABF_2026Q3_PortfolioReview_vF.pdf HLTN 2026-DPLO, Historical Financials &amp; Underwriting (PR slide 501, text ~line 42460-42520), column Sixth Street Underwriting, Whole Loan DSCR 1.61x | WHOLE LOAN DSCR, NCF basis, blended 264 bps + NTM SOFR 3.98%. Class-level DSCR through IG classes 2.31x (198 bps). OC: 1.49x at SOFR 3.66% / 1.33x at 4.44% cap strike on lender UW NCF $57.45M.</t>
        </is>
      </c>
    </row>
    <row r="219">
      <c r="A219" s="4" t="inlineStr">
        <is>
          <t>Loan Data</t>
        </is>
      </c>
      <c r="B219" s="4" t="inlineStr">
        <is>
          <t>DB26</t>
        </is>
      </c>
      <c r="C219" s="4" t="n">
        <v>79782699</v>
      </c>
      <c r="D219" s="4" t="inlineStr">
        <is>
          <t>Sourced</t>
        </is>
      </c>
      <c r="E219" s="5" t="inlineStr">
        <is>
          <t>ABF_2026Q3_PortfolioReview_vF.pdf KSL 2026-HT3, Portfolio Historical Financials &amp; Underwriting (PR slide 489, text ~line 41745-41800), column TTM Feb 2026 NOI $79,782,699 | Deal-level (12 hotels, 2,290 keys); same for Classes B/C/D. NOI is after FF&amp;E reserve, before capex. KSL OC (Box 2260955291043, Annex A) shows TTM Mar 2026 NOI $79,028,291; PR figure preferred.</t>
        </is>
      </c>
    </row>
    <row r="220">
      <c r="A220" s="2" t="inlineStr">
        <is>
          <t>Loan Data</t>
        </is>
      </c>
      <c r="B220" s="2" t="inlineStr">
        <is>
          <t>DB27</t>
        </is>
      </c>
      <c r="C220" s="2" t="n">
        <v>79782699</v>
      </c>
      <c r="D220" s="2" t="inlineStr">
        <is>
          <t>Sourced</t>
        </is>
      </c>
      <c r="E220" s="3" t="inlineStr">
        <is>
          <t>ABF_2026Q3_PortfolioReview_vF.pdf KSL 2026-HT3, Portfolio Historical Financials &amp; Underwriting (PR slide 489, text ~line 41745-41800), column TTM Feb 2026 NOI $79,782,699 | Deal-level (12 hotels, 2,290 keys); same for Classes B/C/D. NOI is after FF&amp;E reserve, before capex. KSL OC (Box 2260955291043, Annex A) shows TTM Mar 2026 NOI $79,028,291; PR figure preferred.</t>
        </is>
      </c>
    </row>
    <row r="221">
      <c r="A221" s="4" t="inlineStr">
        <is>
          <t>Loan Data</t>
        </is>
      </c>
      <c r="B221" s="4" t="inlineStr">
        <is>
          <t>DB28</t>
        </is>
      </c>
      <c r="C221" s="4" t="n">
        <v>79782699</v>
      </c>
      <c r="D221" s="4" t="inlineStr">
        <is>
          <t>Sourced</t>
        </is>
      </c>
      <c r="E221" s="5" t="inlineStr">
        <is>
          <t>ABF_2026Q3_PortfolioReview_vF.pdf KSL 2026-HT3, Portfolio Historical Financials &amp; Underwriting (PR slide 489, text ~line 41745-41800), column TTM Feb 2026 NOI $79,782,699 | Deal-level (12 hotels, 2,290 keys); same for Classes B/C/D. NOI is after FF&amp;E reserve, before capex. KSL OC (Box 2260955291043, Annex A) shows TTM Mar 2026 NOI $79,028,291; PR figure preferred.</t>
        </is>
      </c>
    </row>
    <row r="222">
      <c r="A222" s="2" t="inlineStr">
        <is>
          <t>Loan Data</t>
        </is>
      </c>
      <c r="B222" s="2" t="inlineStr">
        <is>
          <t>DC26</t>
        </is>
      </c>
      <c r="C222" s="2" t="n">
        <v>1.27</v>
      </c>
      <c r="D222" s="2" t="inlineStr">
        <is>
          <t>Sourced</t>
        </is>
      </c>
      <c r="E222" s="3" t="inlineStr">
        <is>
          <t>ABF_2026Q3_PortfolioReview_vF.pdf KSL 2026-HT3, Portfolio Historical Financials &amp; Underwriting (PR slide 489, text ~line 41745-41800), column TTM Feb 2026 Whole Loan DSCR 1.27x | WHOLE LOAN DSCR on NOI (consistent with printed 9.0% whole loan DY = NOI/890M), blended spread 300 bps whole loan / 200 bps IG classes + NTM SOFR 3.98%. Class level DSCR through IG classes 2.25x.</t>
        </is>
      </c>
    </row>
    <row r="223">
      <c r="A223" s="4" t="inlineStr">
        <is>
          <t>Loan Data</t>
        </is>
      </c>
      <c r="B223" s="4" t="inlineStr">
        <is>
          <t>DC27</t>
        </is>
      </c>
      <c r="C223" s="4" t="n">
        <v>1.27</v>
      </c>
      <c r="D223" s="4" t="inlineStr">
        <is>
          <t>Sourced</t>
        </is>
      </c>
      <c r="E223" s="5" t="inlineStr">
        <is>
          <t>ABF_2026Q3_PortfolioReview_vF.pdf KSL 2026-HT3, Portfolio Historical Financials &amp; Underwriting (PR slide 489, text ~line 41745-41800), column TTM Feb 2026 Whole Loan DSCR 1.27x | WHOLE LOAN DSCR on NOI (consistent with printed 9.0% whole loan DY = NOI/890M), blended spread 300 bps whole loan / 200 bps IG classes + NTM SOFR 3.98%. Class level DSCR through IG classes 2.25x.</t>
        </is>
      </c>
    </row>
    <row r="224">
      <c r="A224" s="2" t="inlineStr">
        <is>
          <t>Loan Data</t>
        </is>
      </c>
      <c r="B224" s="2" t="inlineStr">
        <is>
          <t>DC28</t>
        </is>
      </c>
      <c r="C224" s="2" t="n">
        <v>1.27</v>
      </c>
      <c r="D224" s="2" t="inlineStr">
        <is>
          <t>Sourced</t>
        </is>
      </c>
      <c r="E224" s="3" t="inlineStr">
        <is>
          <t>ABF_2026Q3_PortfolioReview_vF.pdf KSL 2026-HT3, Portfolio Historical Financials &amp; Underwriting (PR slide 489, text ~line 41745-41800), column TTM Feb 2026 Whole Loan DSCR 1.27x | WHOLE LOAN DSCR on NOI (consistent with printed 9.0% whole loan DY = NOI/890M), blended spread 300 bps whole loan / 200 bps IG classes + NTM SOFR 3.98%. Class level DSCR through IG classes 2.25x.</t>
        </is>
      </c>
    </row>
    <row r="225">
      <c r="A225" s="4" t="inlineStr">
        <is>
          <t>Loan Data</t>
        </is>
      </c>
      <c r="B225" s="4" t="inlineStr">
        <is>
          <t>DD26</t>
        </is>
      </c>
      <c r="C225" s="4" t="n">
        <v>77925865</v>
      </c>
      <c r="D225" s="4" t="inlineStr">
        <is>
          <t>Sourced</t>
        </is>
      </c>
      <c r="E225" s="5" t="inlineStr">
        <is>
          <t>ABF_2026Q3_PortfolioReview_vF.pdf KSL 2026-HT3, Portfolio Historical Financials &amp; Underwriting (PR slide 489, text ~line 41745-41800), column Sixth Street Underwriting NOI $77,925,865 | Deal-level (12 hotels, 2,290 keys); same for Classes B/C/D. NOI is after FF&amp;E reserve, before capex. SSP UW NOI; basis of $966.19M UW value (8.07% cap). OC loan-seller UW NOI is $93,213,379 / UW NCF $81,237,131 (OC p.~17 'Underwritten Net Operating Income'), much higher, not used.</t>
        </is>
      </c>
    </row>
    <row r="226">
      <c r="A226" s="2" t="inlineStr">
        <is>
          <t>Loan Data</t>
        </is>
      </c>
      <c r="B226" s="2" t="inlineStr">
        <is>
          <t>DD27</t>
        </is>
      </c>
      <c r="C226" s="2" t="n">
        <v>77925865</v>
      </c>
      <c r="D226" s="2" t="inlineStr">
        <is>
          <t>Sourced</t>
        </is>
      </c>
      <c r="E226" s="3" t="inlineStr">
        <is>
          <t>ABF_2026Q3_PortfolioReview_vF.pdf KSL 2026-HT3, Portfolio Historical Financials &amp; Underwriting (PR slide 489, text ~line 41745-41800), column Sixth Street Underwriting NOI $77,925,865 | Deal-level (12 hotels, 2,290 keys); same for Classes B/C/D. NOI is after FF&amp;E reserve, before capex. SSP UW NOI; basis of $966.19M UW value (8.07% cap). OC loan-seller UW NOI is $93,213,379 / UW NCF $81,237,131 (OC p.~17 'Underwritten Net Operating Income'), much higher, not used.</t>
        </is>
      </c>
    </row>
    <row r="227">
      <c r="A227" s="4" t="inlineStr">
        <is>
          <t>Loan Data</t>
        </is>
      </c>
      <c r="B227" s="4" t="inlineStr">
        <is>
          <t>DD28</t>
        </is>
      </c>
      <c r="C227" s="4" t="n">
        <v>77925865</v>
      </c>
      <c r="D227" s="4" t="inlineStr">
        <is>
          <t>Sourced</t>
        </is>
      </c>
      <c r="E227" s="5" t="inlineStr">
        <is>
          <t>ABF_2026Q3_PortfolioReview_vF.pdf KSL 2026-HT3, Portfolio Historical Financials &amp; Underwriting (PR slide 489, text ~line 41745-41800), column Sixth Street Underwriting NOI $77,925,865 | Deal-level (12 hotels, 2,290 keys); same for Classes B/C/D. NOI is after FF&amp;E reserve, before capex. SSP UW NOI; basis of $966.19M UW value (8.07% cap). OC loan-seller UW NOI is $93,213,379 / UW NCF $81,237,131 (OC p.~17 'Underwritten Net Operating Income'), much higher, not used.</t>
        </is>
      </c>
    </row>
    <row r="228">
      <c r="A228" s="2" t="inlineStr">
        <is>
          <t>Loan Data</t>
        </is>
      </c>
      <c r="B228" s="2" t="inlineStr">
        <is>
          <t>DE26</t>
        </is>
      </c>
      <c r="C228" s="2" t="n">
        <v>1.24</v>
      </c>
      <c r="D228" s="2" t="inlineStr">
        <is>
          <t>Sourced</t>
        </is>
      </c>
      <c r="E228" s="3" t="inlineStr">
        <is>
          <t>ABF_2026Q3_PortfolioReview_vF.pdf KSL 2026-HT3, Portfolio Historical Financials &amp; Underwriting (PR slide 489, text ~line 41745-41800), column Sixth Street Underwriting Whole Loan DSCR 1.24x | WHOLE LOAN DSCR, NOI basis, blended 300 bps + NTM SOFR 3.98%. Class level through IG classes 2.20x. OC on seller UW NCF: 1.33x at SOFR 3.65%, 1.13x at 4.86085% cap strike.</t>
        </is>
      </c>
    </row>
    <row r="229">
      <c r="A229" s="4" t="inlineStr">
        <is>
          <t>Loan Data</t>
        </is>
      </c>
      <c r="B229" s="4" t="inlineStr">
        <is>
          <t>DE27</t>
        </is>
      </c>
      <c r="C229" s="4" t="n">
        <v>1.24</v>
      </c>
      <c r="D229" s="4" t="inlineStr">
        <is>
          <t>Sourced</t>
        </is>
      </c>
      <c r="E229" s="5" t="inlineStr">
        <is>
          <t>ABF_2026Q3_PortfolioReview_vF.pdf KSL 2026-HT3, Portfolio Historical Financials &amp; Underwriting (PR slide 489, text ~line 41745-41800), column Sixth Street Underwriting Whole Loan DSCR 1.24x | WHOLE LOAN DSCR, NOI basis, blended 300 bps + NTM SOFR 3.98%. Class level through IG classes 2.20x. OC on seller UW NCF: 1.33x at SOFR 3.65%, 1.13x at 4.86085% cap strike.</t>
        </is>
      </c>
    </row>
    <row r="230">
      <c r="A230" s="2" t="inlineStr">
        <is>
          <t>Loan Data</t>
        </is>
      </c>
      <c r="B230" s="2" t="inlineStr">
        <is>
          <t>DE28</t>
        </is>
      </c>
      <c r="C230" s="2" t="n">
        <v>1.24</v>
      </c>
      <c r="D230" s="2" t="inlineStr">
        <is>
          <t>Sourced</t>
        </is>
      </c>
      <c r="E230" s="3" t="inlineStr">
        <is>
          <t>ABF_2026Q3_PortfolioReview_vF.pdf KSL 2026-HT3, Portfolio Historical Financials &amp; Underwriting (PR slide 489, text ~line 41745-41800), column Sixth Street Underwriting Whole Loan DSCR 1.24x | WHOLE LOAN DSCR, NOI basis, blended 300 bps + NTM SOFR 3.98%. Class level through IG classes 2.20x. OC on seller UW NCF: 1.33x at SOFR 3.65%, 1.13x at 4.86085% cap strike.</t>
        </is>
      </c>
    </row>
    <row r="231">
      <c r="A231" s="4" t="inlineStr">
        <is>
          <t>Loan Data</t>
        </is>
      </c>
      <c r="B231" s="4" t="inlineStr">
        <is>
          <t>DB29</t>
        </is>
      </c>
      <c r="C231" s="4" t="n">
        <v>69509594</v>
      </c>
      <c r="D231" s="4" t="inlineStr">
        <is>
          <t>Sourced</t>
        </is>
      </c>
      <c r="E231" s="5" t="inlineStr">
        <is>
          <t>AHPT 2026-ATRM Preliminary Offering Circular (Box 2401282417834), Annex A-10, Most Recent NOI, loan row, TTM May 2026 (5/31/2026) | Deal-level (18 hotels, 4,216 keys, $565.7M loan); same for Classes B-E. AHPT is NOT in the Q3 Portfolio Review (searched AHPT, ATRM). Prelim OC figures are bracketed/subject to final pricing. NOI is before FF&amp;E reserve (UW NOI 71.6M vs NCF 61.8M). Column labels in text extraction are offset; mapping verified by ADR x occupancy = RevPAR check.</t>
        </is>
      </c>
    </row>
    <row r="232">
      <c r="A232" s="2" t="inlineStr">
        <is>
          <t>Loan Data</t>
        </is>
      </c>
      <c r="B232" s="2" t="inlineStr">
        <is>
          <t>DB30</t>
        </is>
      </c>
      <c r="C232" s="2" t="n">
        <v>69509594</v>
      </c>
      <c r="D232" s="2" t="inlineStr">
        <is>
          <t>Sourced</t>
        </is>
      </c>
      <c r="E232" s="3" t="inlineStr">
        <is>
          <t>AHPT 2026-ATRM Preliminary Offering Circular (Box 2401282417834), Annex A-10, Most Recent NOI, loan row, TTM May 2026 (5/31/2026) | Deal-level (18 hotels, 4,216 keys, $565.7M loan); same for Classes B-E. AHPT is NOT in the Q3 Portfolio Review (searched AHPT, ATRM). Prelim OC figures are bracketed/subject to final pricing. NOI is before FF&amp;E reserve (UW NOI 71.6M vs NCF 61.8M). Column labels in text extraction are offset; mapping verified by ADR x occupancy = RevPAR check.</t>
        </is>
      </c>
    </row>
    <row r="233">
      <c r="A233" s="4" t="inlineStr">
        <is>
          <t>Loan Data</t>
        </is>
      </c>
      <c r="B233" s="4" t="inlineStr">
        <is>
          <t>DB31</t>
        </is>
      </c>
      <c r="C233" s="4" t="n">
        <v>69509594</v>
      </c>
      <c r="D233" s="4" t="inlineStr">
        <is>
          <t>Sourced</t>
        </is>
      </c>
      <c r="E233" s="5" t="inlineStr">
        <is>
          <t>AHPT 2026-ATRM Preliminary Offering Circular (Box 2401282417834), Annex A-10, Most Recent NOI, loan row, TTM May 2026 (5/31/2026) | Deal-level (18 hotels, 4,216 keys, $565.7M loan); same for Classes B-E. AHPT is NOT in the Q3 Portfolio Review (searched AHPT, ATRM). Prelim OC figures are bracketed/subject to final pricing. NOI is before FF&amp;E reserve (UW NOI 71.6M vs NCF 61.8M). Column labels in text extraction are offset; mapping verified by ADR x occupancy = RevPAR check.</t>
        </is>
      </c>
    </row>
    <row r="234">
      <c r="A234" s="2" t="inlineStr">
        <is>
          <t>Loan Data</t>
        </is>
      </c>
      <c r="B234" s="2" t="inlineStr">
        <is>
          <t>DB32</t>
        </is>
      </c>
      <c r="C234" s="2" t="n">
        <v>69509594</v>
      </c>
      <c r="D234" s="2" t="inlineStr">
        <is>
          <t>Sourced</t>
        </is>
      </c>
      <c r="E234" s="3" t="inlineStr">
        <is>
          <t>AHPT 2026-ATRM Preliminary Offering Circular (Box 2401282417834), Annex A-10, Most Recent NOI, loan row, TTM May 2026 (5/31/2026) | Deal-level (18 hotels, 4,216 keys, $565.7M loan); same for Classes B-E. AHPT is NOT in the Q3 Portfolio Review (searched AHPT, ATRM). Prelim OC figures are bracketed/subject to final pricing. NOI is before FF&amp;E reserve (UW NOI 71.6M vs NCF 61.8M). Column labels in text extraction are offset; mapping verified by ADR x occupancy = RevPAR check.</t>
        </is>
      </c>
    </row>
    <row r="235">
      <c r="A235" s="4" t="inlineStr">
        <is>
          <t>Loan Data</t>
        </is>
      </c>
      <c r="B235" s="4" t="inlineStr">
        <is>
          <t>DC29</t>
        </is>
      </c>
      <c r="C235" s="4" t="n">
        <v>1.66</v>
      </c>
      <c r="D235" s="4" t="inlineStr">
        <is>
          <t>Derived</t>
        </is>
      </c>
      <c r="E235" s="5" t="inlineStr">
        <is>
          <t>Derived: in-place NOI / OC annual debt service | Deal-level (18 hotels, 4,216 keys, $565.7M loan); same for Classes B-E. AHPT is NOT in the Q3 Portfolio Review (searched AHPT, ATRM). Prelim OC figures are bracketed/subject to final pricing. NOI is before FF&amp;E reserve (UW NOI 71.6M vs NCF 61.8M). DERIVED: 69,509,594 / 41,984,368 where debt service = 565.7M x (3.62% SOFR + 3.70% spread) x 365/360 (this reproduces OC's 1.71x NOI / 1.47x NCF). WHOLE LOAN, NOI basis, SOFR 3.62% (not cap). Not printed anywhere; omit if only printed figures wanted.</t>
        </is>
      </c>
    </row>
    <row r="236">
      <c r="A236" s="2" t="inlineStr">
        <is>
          <t>Loan Data</t>
        </is>
      </c>
      <c r="B236" s="2" t="inlineStr">
        <is>
          <t>DC30</t>
        </is>
      </c>
      <c r="C236" s="2" t="n">
        <v>1.66</v>
      </c>
      <c r="D236" s="2" t="inlineStr">
        <is>
          <t>Derived</t>
        </is>
      </c>
      <c r="E236" s="3" t="inlineStr">
        <is>
          <t>Derived: in-place NOI / OC annual debt service | Deal-level (18 hotels, 4,216 keys, $565.7M loan); same for Classes B-E. AHPT is NOT in the Q3 Portfolio Review (searched AHPT, ATRM). Prelim OC figures are bracketed/subject to final pricing. NOI is before FF&amp;E reserve (UW NOI 71.6M vs NCF 61.8M). DERIVED: 69,509,594 / 41,984,368 where debt service = 565.7M x (3.62% SOFR + 3.70% spread) x 365/360 (this reproduces OC's 1.71x NOI / 1.47x NCF). WHOLE LOAN, NOI basis, SOFR 3.62% (not cap). Not printed anywhere; omit if only printed figures wanted.</t>
        </is>
      </c>
    </row>
    <row r="237">
      <c r="A237" s="4" t="inlineStr">
        <is>
          <t>Loan Data</t>
        </is>
      </c>
      <c r="B237" s="4" t="inlineStr">
        <is>
          <t>DC31</t>
        </is>
      </c>
      <c r="C237" s="4" t="n">
        <v>1.66</v>
      </c>
      <c r="D237" s="4" t="inlineStr">
        <is>
          <t>Derived</t>
        </is>
      </c>
      <c r="E237" s="5" t="inlineStr">
        <is>
          <t>Derived: in-place NOI / OC annual debt service | Deal-level (18 hotels, 4,216 keys, $565.7M loan); same for Classes B-E. AHPT is NOT in the Q3 Portfolio Review (searched AHPT, ATRM). Prelim OC figures are bracketed/subject to final pricing. NOI is before FF&amp;E reserve (UW NOI 71.6M vs NCF 61.8M). DERIVED: 69,509,594 / 41,984,368 where debt service = 565.7M x (3.62% SOFR + 3.70% spread) x 365/360 (this reproduces OC's 1.71x NOI / 1.47x NCF). WHOLE LOAN, NOI basis, SOFR 3.62% (not cap). Not printed anywhere; omit if only printed figures wanted.</t>
        </is>
      </c>
    </row>
    <row r="238">
      <c r="A238" s="2" t="inlineStr">
        <is>
          <t>Loan Data</t>
        </is>
      </c>
      <c r="B238" s="2" t="inlineStr">
        <is>
          <t>DC32</t>
        </is>
      </c>
      <c r="C238" s="2" t="n">
        <v>1.66</v>
      </c>
      <c r="D238" s="2" t="inlineStr">
        <is>
          <t>Derived</t>
        </is>
      </c>
      <c r="E238" s="3" t="inlineStr">
        <is>
          <t>Derived: in-place NOI / OC annual debt service | Deal-level (18 hotels, 4,216 keys, $565.7M loan); same for Classes B-E. AHPT is NOT in the Q3 Portfolio Review (searched AHPT, ATRM). Prelim OC figures are bracketed/subject to final pricing. NOI is before FF&amp;E reserve (UW NOI 71.6M vs NCF 61.8M). DERIVED: 69,509,594 / 41,984,368 where debt service = 565.7M x (3.62% SOFR + 3.70% spread) x 365/360 (this reproduces OC's 1.71x NOI / 1.47x NCF). WHOLE LOAN, NOI basis, SOFR 3.62% (not cap). Not printed anywhere; omit if only printed figures wanted.</t>
        </is>
      </c>
    </row>
    <row r="239">
      <c r="A239" s="4" t="inlineStr">
        <is>
          <t>Loan Data</t>
        </is>
      </c>
      <c r="B239" s="4" t="inlineStr">
        <is>
          <t>DD29</t>
        </is>
      </c>
      <c r="C239" s="4" t="n">
        <v>71611269</v>
      </c>
      <c r="D239" s="4" t="inlineStr">
        <is>
          <t>Sourced</t>
        </is>
      </c>
      <c r="E239" s="5" t="inlineStr">
        <is>
          <t xml:space="preserve">AHPT 2026-ATRM Preliminary Offering Circular (Box 2401282417834), Description of the Mortgaged Properties, Certain Definitions, 'Underwritten Net Operating Income' $71,611,269 (also Annex A-10 UW NOI, DY 12.7%) | Deal-level (18 hotels, 4,216 keys, $565.7M loan); same for Classes B-E. AHPT is NOT in the Q3 Portfolio Review (searched AHPT, ATRM). Prelim OC figures are bracketed/subject to final pricing. NOI is before FF&amp;E reserve (UW NOI 71.6M vs NCF 61.8M). </t>
        </is>
      </c>
    </row>
    <row r="240">
      <c r="A240" s="2" t="inlineStr">
        <is>
          <t>Loan Data</t>
        </is>
      </c>
      <c r="B240" s="2" t="inlineStr">
        <is>
          <t>DD30</t>
        </is>
      </c>
      <c r="C240" s="2" t="n">
        <v>71611269</v>
      </c>
      <c r="D240" s="2" t="inlineStr">
        <is>
          <t>Sourced</t>
        </is>
      </c>
      <c r="E240" s="3" t="inlineStr">
        <is>
          <t xml:space="preserve">AHPT 2026-ATRM Preliminary Offering Circular (Box 2401282417834), Description of the Mortgaged Properties, Certain Definitions, 'Underwritten Net Operating Income' $71,611,269 (also Annex A-10 UW NOI, DY 12.7%) | Deal-level (18 hotels, 4,216 keys, $565.7M loan); same for Classes B-E. AHPT is NOT in the Q3 Portfolio Review (searched AHPT, ATRM). Prelim OC figures are bracketed/subject to final pricing. NOI is before FF&amp;E reserve (UW NOI 71.6M vs NCF 61.8M). </t>
        </is>
      </c>
    </row>
    <row r="241">
      <c r="A241" s="4" t="inlineStr">
        <is>
          <t>Loan Data</t>
        </is>
      </c>
      <c r="B241" s="4" t="inlineStr">
        <is>
          <t>DD31</t>
        </is>
      </c>
      <c r="C241" s="4" t="n">
        <v>71611269</v>
      </c>
      <c r="D241" s="4" t="inlineStr">
        <is>
          <t>Sourced</t>
        </is>
      </c>
      <c r="E241" s="5" t="inlineStr">
        <is>
          <t xml:space="preserve">AHPT 2026-ATRM Preliminary Offering Circular (Box 2401282417834), Description of the Mortgaged Properties, Certain Definitions, 'Underwritten Net Operating Income' $71,611,269 (also Annex A-10 UW NOI, DY 12.7%) | Deal-level (18 hotels, 4,216 keys, $565.7M loan); same for Classes B-E. AHPT is NOT in the Q3 Portfolio Review (searched AHPT, ATRM). Prelim OC figures are bracketed/subject to final pricing. NOI is before FF&amp;E reserve (UW NOI 71.6M vs NCF 61.8M). </t>
        </is>
      </c>
    </row>
    <row r="242">
      <c r="A242" s="2" t="inlineStr">
        <is>
          <t>Loan Data</t>
        </is>
      </c>
      <c r="B242" s="2" t="inlineStr">
        <is>
          <t>DD32</t>
        </is>
      </c>
      <c r="C242" s="2" t="n">
        <v>71611269</v>
      </c>
      <c r="D242" s="2" t="inlineStr">
        <is>
          <t>Sourced</t>
        </is>
      </c>
      <c r="E242" s="3" t="inlineStr">
        <is>
          <t xml:space="preserve">AHPT 2026-ATRM Preliminary Offering Circular (Box 2401282417834), Description of the Mortgaged Properties, Certain Definitions, 'Underwritten Net Operating Income' $71,611,269 (also Annex A-10 UW NOI, DY 12.7%) | Deal-level (18 hotels, 4,216 keys, $565.7M loan); same for Classes B-E. AHPT is NOT in the Q3 Portfolio Review (searched AHPT, ATRM). Prelim OC figures are bracketed/subject to final pricing. NOI is before FF&amp;E reserve (UW NOI 71.6M vs NCF 61.8M). </t>
        </is>
      </c>
    </row>
    <row r="243">
      <c r="A243" s="4" t="inlineStr">
        <is>
          <t>Loan Data</t>
        </is>
      </c>
      <c r="B243" s="4" t="inlineStr">
        <is>
          <t>DE29</t>
        </is>
      </c>
      <c r="C243" s="4" t="n">
        <v>1.71</v>
      </c>
      <c r="D243" s="4" t="inlineStr">
        <is>
          <t>Sourced</t>
        </is>
      </c>
      <c r="E243" s="5" t="inlineStr">
        <is>
          <t>AHPT 2026-ATRM Preliminary Offering Circular (Box 2401282417834), Annex A-7, Underwritten NOI DSCR [1.71]x | WHOLE LOAN DSCR, NOI basis, assumed Term SOFR 3.62% + 3.70% spread. At cap strike [5.78]%: NOI DSCR 1.32x (Annex A-10). NCF DSCR 1.47x / 1.14x at cap. Note tape BR29 cap strike is 6.03712% vs OC prelim 5.78%, so the at-cap figure may be stale. Class-level cumulative UW NCF DY (not DSCR): B 26.5%, C 21.4%, D 17.0%, E 14.1%.</t>
        </is>
      </c>
    </row>
    <row r="244">
      <c r="A244" s="2" t="inlineStr">
        <is>
          <t>Loan Data</t>
        </is>
      </c>
      <c r="B244" s="2" t="inlineStr">
        <is>
          <t>DE30</t>
        </is>
      </c>
      <c r="C244" s="2" t="n">
        <v>1.71</v>
      </c>
      <c r="D244" s="2" t="inlineStr">
        <is>
          <t>Sourced</t>
        </is>
      </c>
      <c r="E244" s="3" t="inlineStr">
        <is>
          <t>AHPT 2026-ATRM Preliminary Offering Circular (Box 2401282417834), Annex A-7, Underwritten NOI DSCR [1.71]x | WHOLE LOAN DSCR, NOI basis, assumed Term SOFR 3.62% + 3.70% spread. At cap strike [5.78]%: NOI DSCR 1.32x (Annex A-10). NCF DSCR 1.47x / 1.14x at cap. Note tape BR29 cap strike is 6.03712% vs OC prelim 5.78%, so the at-cap figure may be stale. Class-level cumulative UW NCF DY (not DSCR): B 26.5%, C 21.4%, D 17.0%, E 14.1%.</t>
        </is>
      </c>
    </row>
    <row r="245">
      <c r="A245" s="4" t="inlineStr">
        <is>
          <t>Loan Data</t>
        </is>
      </c>
      <c r="B245" s="4" t="inlineStr">
        <is>
          <t>DE31</t>
        </is>
      </c>
      <c r="C245" s="4" t="n">
        <v>1.71</v>
      </c>
      <c r="D245" s="4" t="inlineStr">
        <is>
          <t>Sourced</t>
        </is>
      </c>
      <c r="E245" s="5" t="inlineStr">
        <is>
          <t>AHPT 2026-ATRM Preliminary Offering Circular (Box 2401282417834), Annex A-7, Underwritten NOI DSCR [1.71]x | WHOLE LOAN DSCR, NOI basis, assumed Term SOFR 3.62% + 3.70% spread. At cap strike [5.78]%: NOI DSCR 1.32x (Annex A-10). NCF DSCR 1.47x / 1.14x at cap. Note tape BR29 cap strike is 6.03712% vs OC prelim 5.78%, so the at-cap figure may be stale. Class-level cumulative UW NCF DY (not DSCR): B 26.5%, C 21.4%, D 17.0%, E 14.1%.</t>
        </is>
      </c>
    </row>
    <row r="246">
      <c r="A246" s="2" t="inlineStr">
        <is>
          <t>Loan Data</t>
        </is>
      </c>
      <c r="B246" s="2" t="inlineStr">
        <is>
          <t>DE32</t>
        </is>
      </c>
      <c r="C246" s="2" t="n">
        <v>1.71</v>
      </c>
      <c r="D246" s="2" t="inlineStr">
        <is>
          <t>Sourced</t>
        </is>
      </c>
      <c r="E246" s="3" t="inlineStr">
        <is>
          <t>AHPT 2026-ATRM Preliminary Offering Circular (Box 2401282417834), Annex A-7, Underwritten NOI DSCR [1.71]x | WHOLE LOAN DSCR, NOI basis, assumed Term SOFR 3.62% + 3.70% spread. At cap strike [5.78]%: NOI DSCR 1.32x (Annex A-10). NCF DSCR 1.47x / 1.14x at cap. Note tape BR29 cap strike is 6.03712% vs OC prelim 5.78%, so the at-cap figure may be stale. Class-level cumulative UW NCF DY (not DSCR): B 26.5%, C 21.4%, D 17.0%, E 14.1%.</t>
        </is>
      </c>
    </row>
    <row r="247">
      <c r="A247" s="4" t="inlineStr">
        <is>
          <t>Capital Stack</t>
        </is>
      </c>
      <c r="B247" s="4" t="inlineStr">
        <is>
          <t>AA33</t>
        </is>
      </c>
      <c r="C247" s="4">
        <f>W33/T33*100</f>
        <v/>
      </c>
      <c r="D247" s="4" t="inlineStr">
        <is>
          <t>Formula</t>
        </is>
      </c>
      <c r="E247" s="5" t="inlineStr">
        <is>
          <t>Neighbor convention (e.g. row 23 AA =W/T*100); W=263,552,491 repo, T=567,000,000 | Evaluates to 46.48. Note PR describes senior as 0-65% of $403.6M UPB (65.3%), but tape T col is $567M so formula basis gives 46.5%.</t>
        </is>
      </c>
    </row>
    <row r="248">
      <c r="A248" s="2" t="inlineStr">
        <is>
          <t>Capital Stack</t>
        </is>
      </c>
      <c r="B248" s="2" t="inlineStr">
        <is>
          <t>AH33</t>
        </is>
      </c>
      <c r="C248" s="2">
        <f>(W33+AD33)/T33*100</f>
        <v/>
      </c>
      <c r="D248" s="2" t="inlineStr">
        <is>
          <t>Formula</t>
        </is>
      </c>
      <c r="E248" s="3" t="inlineStr">
        <is>
          <t>Neighbor convention (row 23 AH =(W+AD)/T*100) | Evaluates to 58.83. PR: SSP pref detaches at 83% of UPB ($70M, 65%-83%).</t>
        </is>
      </c>
    </row>
    <row r="249">
      <c r="A249" s="4" t="inlineStr">
        <is>
          <t>Capital Stack</t>
        </is>
      </c>
      <c r="B249" s="4" t="inlineStr">
        <is>
          <t>AI33</t>
        </is>
      </c>
      <c r="C249" s="4" t="n">
        <v>0.15</v>
      </c>
      <c r="D249" s="4" t="inlineStr">
        <is>
          <t>Sourced</t>
        </is>
      </c>
      <c r="E249" s="5" t="inlineStr">
        <is>
          <t>ABF_2026Q3_PortfolioReview_vF.pdf Bridge Loan Trust Overview slide 504 (~line 42690) and Key Terms slide 507: preferred equity '15% rate', 15.0% IRR, 1.36x MoM | Fixed 15% return on the preferred equity (AC=Preferred Equity, AD=$70M), not a floating spread; neighbors (Royalton 0.142, Arista 0.12) enter the coupon in this column. Applies to both rows.</t>
        </is>
      </c>
    </row>
    <row r="250">
      <c r="A250" s="2" t="inlineStr">
        <is>
          <t>Capital Stack</t>
        </is>
      </c>
      <c r="B250" s="2" t="inlineStr">
        <is>
          <t>AP33</t>
        </is>
      </c>
      <c r="C250" s="2" t="inlineStr">
        <is>
          <t>N/A</t>
        </is>
      </c>
      <c r="D250" s="2" t="inlineStr">
        <is>
          <t>Sourced</t>
        </is>
      </c>
      <c r="E250" s="3" t="inlineStr">
        <is>
          <t>Row 33/34 AJ = Common Equity; AL:AO already N/A | Residual common equity has no stated coupon/spread; consistent with AL-AO N/A.</t>
        </is>
      </c>
    </row>
    <row r="251">
      <c r="A251" s="4" t="inlineStr">
        <is>
          <t>Capital Stack</t>
        </is>
      </c>
      <c r="B251" s="4" t="inlineStr">
        <is>
          <t>AA34</t>
        </is>
      </c>
      <c r="C251" s="4">
        <f>W34/T34*100</f>
        <v/>
      </c>
      <c r="D251" s="4" t="inlineStr">
        <is>
          <t>Formula</t>
        </is>
      </c>
      <c r="E251" s="5" t="inlineStr">
        <is>
          <t>Neighbor convention (e.g. row 23 AA =W/T*100); W=263,552,491 repo, T=567,000,000 | Evaluates to 46.48. Note PR describes senior as 0-65% of $403.6M UPB (65.3%), but tape T col is $567M so formula basis gives 46.5%.</t>
        </is>
      </c>
    </row>
    <row r="252">
      <c r="A252" s="2" t="inlineStr">
        <is>
          <t>Capital Stack</t>
        </is>
      </c>
      <c r="B252" s="2" t="inlineStr">
        <is>
          <t>AH34</t>
        </is>
      </c>
      <c r="C252" s="2">
        <f>(W34+AD34)/T34*100</f>
        <v/>
      </c>
      <c r="D252" s="2" t="inlineStr">
        <is>
          <t>Formula</t>
        </is>
      </c>
      <c r="E252" s="3" t="inlineStr">
        <is>
          <t>Neighbor convention (row 23 AH =(W+AD)/T*100) | Evaluates to 58.83. PR: SSP pref detaches at 83% of UPB ($70M, 65%-83%).</t>
        </is>
      </c>
    </row>
    <row r="253">
      <c r="A253" s="4" t="inlineStr">
        <is>
          <t>Capital Stack</t>
        </is>
      </c>
      <c r="B253" s="4" t="inlineStr">
        <is>
          <t>AI34</t>
        </is>
      </c>
      <c r="C253" s="4" t="n">
        <v>0.15</v>
      </c>
      <c r="D253" s="4" t="inlineStr">
        <is>
          <t>Sourced</t>
        </is>
      </c>
      <c r="E253" s="5" t="inlineStr">
        <is>
          <t>ABF_2026Q3_PortfolioReview_vF.pdf Bridge Loan Trust Overview slide 504 (~line 42690) and Key Terms slide 507: preferred equity '15% rate', 15.0% IRR, 1.36x MoM | Fixed 15% return on the preferred equity (AC=Preferred Equity, AD=$70M), not a floating spread; neighbors (Royalton 0.142, Arista 0.12) enter the coupon in this column. Applies to both rows.</t>
        </is>
      </c>
    </row>
    <row r="254">
      <c r="A254" s="2" t="inlineStr">
        <is>
          <t>Capital Stack</t>
        </is>
      </c>
      <c r="B254" s="2" t="inlineStr">
        <is>
          <t>AP34</t>
        </is>
      </c>
      <c r="C254" s="2" t="inlineStr">
        <is>
          <t>N/A</t>
        </is>
      </c>
      <c r="D254" s="2" t="inlineStr">
        <is>
          <t>Sourced</t>
        </is>
      </c>
      <c r="E254" s="3" t="inlineStr">
        <is>
          <t>Row 33/34 AJ = Common Equity; AL:AO already N/A | Residual common equity has no stated coupon/spread; consistent with AL-AO N/A.</t>
        </is>
      </c>
    </row>
    <row r="255">
      <c r="A255" s="4" t="inlineStr">
        <is>
          <t>Loan Data</t>
        </is>
      </c>
      <c r="B255" s="4" t="inlineStr">
        <is>
          <t>BR3</t>
        </is>
      </c>
      <c r="C255" s="4" t="n">
        <v>0.0385</v>
      </c>
      <c r="D255" s="6" t="inlineStr">
        <is>
          <t>Verify</t>
        </is>
      </c>
      <c r="E255" s="5" t="inlineStr">
        <is>
          <t>Chatham Transaction Summary B9 Sequoia Buena Park Owner LP (8/7/2025) Cap #1 3.85%; also Citi Sequoia Mortgage Loan Agreement 'Strike Price'. A second cap (Cap #2, 5.00%, $215.5M notional) covers the Prosperity owner</t>
        </is>
      </c>
    </row>
    <row r="256">
      <c r="A256" s="2" t="inlineStr">
        <is>
          <t>Loan Data</t>
        </is>
      </c>
      <c r="B256" s="2" t="inlineStr">
        <is>
          <t>BS3</t>
        </is>
      </c>
      <c r="C256" s="2" t="n">
        <v>1432820826.71</v>
      </c>
      <c r="D256" s="6" t="inlineStr">
        <is>
          <t>Verify</t>
        </is>
      </c>
      <c r="E256" s="3" t="inlineStr">
        <is>
          <t>Same Chatham summary, Cap #1 notional (whole loan level, not SSP share). Cap #2 adds $215,507,045.42. Loan prepaid in full 3/31/2026</t>
        </is>
      </c>
    </row>
    <row r="257">
      <c r="A257" s="4" t="inlineStr">
        <is>
          <t>Loan Data</t>
        </is>
      </c>
      <c r="B257" s="4" t="inlineStr">
        <is>
          <t>BT3</t>
        </is>
      </c>
      <c r="C257" s="4" t="n">
        <v>12</v>
      </c>
      <c r="D257" s="4" t="inlineStr">
        <is>
          <t>Sourced</t>
        </is>
      </c>
      <c r="E257" s="5" t="inlineStr">
        <is>
          <t>Same Chatham summary: effective 8/15/2025, termination 8/15/2026 (2025 extension cap)</t>
        </is>
      </c>
    </row>
    <row r="258">
      <c r="A258" s="2" t="inlineStr">
        <is>
          <t>Loan Data</t>
        </is>
      </c>
      <c r="B258" s="2" t="inlineStr">
        <is>
          <t>BR7</t>
        </is>
      </c>
      <c r="C258" s="2" t="n">
        <v>0.045</v>
      </c>
      <c r="D258" s="2" t="inlineStr">
        <is>
          <t>Sourced</t>
        </is>
      </c>
      <c r="E258" s="3" t="inlineStr">
        <is>
          <t>SMBC revised confirmation for ColFin 2015-1B Industrial Owner (2/6/2026): 4.50% from 2/15/2026 (prior segments 5.50% and 4.533%)</t>
        </is>
      </c>
    </row>
    <row r="259">
      <c r="A259" s="4" t="inlineStr">
        <is>
          <t>Loan Data</t>
        </is>
      </c>
      <c r="B259" s="4" t="inlineStr">
        <is>
          <t>BS7</t>
        </is>
      </c>
      <c r="C259" s="4" t="n">
        <v>568085042.52</v>
      </c>
      <c r="D259" s="4" t="inlineStr">
        <is>
          <t>Sourced</t>
        </is>
      </c>
      <c r="E259" s="5" t="inlineStr">
        <is>
          <t>Same SMBC confirmation: current notional from 2/15/2026 (whole loan cap, stepped down from $865.3M and $731.1M)</t>
        </is>
      </c>
    </row>
    <row r="260">
      <c r="A260" s="2" t="inlineStr">
        <is>
          <t>Loan Data</t>
        </is>
      </c>
      <c r="B260" s="2" t="inlineStr">
        <is>
          <t>BT7</t>
        </is>
      </c>
      <c r="C260" s="2" t="n">
        <v>12</v>
      </c>
      <c r="D260" s="2" t="inlineStr">
        <is>
          <t>Sourced</t>
        </is>
      </c>
      <c r="E260" s="3" t="inlineStr">
        <is>
          <t>Same SMBC confirmation: current segment 2/15/2026 to 2/15/2027 (full cap 36 months from 2/15/2024)</t>
        </is>
      </c>
    </row>
    <row r="261">
      <c r="A261" s="4" t="inlineStr">
        <is>
          <t>Loan Data</t>
        </is>
      </c>
      <c r="B261" s="4" t="inlineStr">
        <is>
          <t>BS4</t>
        </is>
      </c>
      <c r="C261" s="4" t="n">
        <v>125170404</v>
      </c>
      <c r="D261" s="4" t="inlineStr">
        <is>
          <t>Sourced</t>
        </is>
      </c>
      <c r="E261" s="5" t="inlineStr">
        <is>
          <t>Chatham Transaction Summary 601 W Bacon St (VA) Owner LLC (5/8/2026), Cap 1 (mortgage) 3.87% SMBC, 5/15/2026 to 5/15/2027. Separate mezz cap $26,209,098</t>
        </is>
      </c>
    </row>
    <row r="262">
      <c r="A262" s="2" t="inlineStr">
        <is>
          <t>Loan Data</t>
        </is>
      </c>
      <c r="B262" s="2" t="inlineStr">
        <is>
          <t>BS8</t>
        </is>
      </c>
      <c r="C262" s="2" t="n">
        <v>220701770</v>
      </c>
      <c r="D262" s="2" t="inlineStr">
        <is>
          <t>Sourced</t>
        </is>
      </c>
      <c r="E262" s="3" t="inlineStr">
        <is>
          <t>Chatham Transaction Summary SZ College Station Caps (5/29/2026) and GS Eyas Rate Cap Reserve Guaranty (2026) Schedule II: notional $220,701,770, 5.25% cap, 4.00% required strike. Separate mezz cap $55,027,230</t>
        </is>
      </c>
    </row>
    <row r="263">
      <c r="A263" s="4" t="inlineStr">
        <is>
          <t>Loan Data</t>
        </is>
      </c>
      <c r="B263" s="4" t="inlineStr">
        <is>
          <t>BS9</t>
        </is>
      </c>
      <c r="C263" s="4" t="n">
        <v>550600000</v>
      </c>
      <c r="D263" s="4" t="inlineStr">
        <is>
          <t>Sourced</t>
        </is>
      </c>
      <c r="E263" s="5" t="inlineStr">
        <is>
          <t>Chatham Transaction Summary 550 Park Ave (CO) Owner LLC (2/9/2026): GS cap 5.00%, notional $550.6M</t>
        </is>
      </c>
    </row>
    <row r="264">
      <c r="A264" s="2" t="inlineStr">
        <is>
          <t>Loan Data</t>
        </is>
      </c>
      <c r="B264" s="2" t="inlineStr">
        <is>
          <t>BT9</t>
        </is>
      </c>
      <c r="C264" s="2" t="n">
        <v>12</v>
      </c>
      <c r="D264" s="2" t="inlineStr">
        <is>
          <t>Sourced</t>
        </is>
      </c>
      <c r="E264" s="3" t="inlineStr">
        <is>
          <t>Same Chatham summary: effective 2/15/2026, termination 2/9/2027</t>
        </is>
      </c>
    </row>
    <row r="265">
      <c r="A265" s="4" t="inlineStr">
        <is>
          <t>Capital Stack</t>
        </is>
      </c>
      <c r="B265" s="4" t="inlineStr">
        <is>
          <t>S3</t>
        </is>
      </c>
      <c r="C265" s="4" t="n">
        <v>3065449030</v>
      </c>
      <c r="D265" s="4" t="inlineStr">
        <is>
          <t>Sourced</t>
        </is>
      </c>
      <c r="E265" s="5" t="inlineStr">
        <is>
          <t>Project Sequoia_IRC Memo_vF.pdf Sources &amp; Uses, fully committed total cost ($3,003.8M at closing + $61.7M future leasing)</t>
        </is>
      </c>
    </row>
    <row r="266">
      <c r="A266" s="2" t="inlineStr">
        <is>
          <t>Capital Stack</t>
        </is>
      </c>
      <c r="B266" s="2" t="inlineStr">
        <is>
          <t>T3</t>
        </is>
      </c>
      <c r="C266" s="2">
        <f>1900393181/0.613</f>
        <v/>
      </c>
      <c r="D266" s="2" t="inlineStr">
        <is>
          <t>Derived</t>
        </is>
      </c>
      <c r="E266" s="3" t="inlineStr">
        <is>
          <t>Sequoia IRC Memo p.1: appraisal as-is LTV 61.3% on $1,900,393,181 funded senior; no appraised dollar figure in the memo</t>
        </is>
      </c>
    </row>
    <row r="267">
      <c r="A267" s="4" t="inlineStr">
        <is>
          <t>Capital Stack</t>
        </is>
      </c>
      <c r="B267" s="4" t="inlineStr">
        <is>
          <t>U3</t>
        </is>
      </c>
      <c r="C267" s="4" t="n">
        <v>2412300000</v>
      </c>
      <c r="D267" s="4" t="inlineStr">
        <is>
          <t>Sourced</t>
        </is>
      </c>
      <c r="E267" s="5" t="inlineStr">
        <is>
          <t>Sequoia IRC Memo Valuation/Credit Metrics: SSP stressed in-place portfolio value (78.8% LTV); stabilized untrended $2,477.9M</t>
        </is>
      </c>
    </row>
    <row r="268">
      <c r="A268" s="2" t="inlineStr">
        <is>
          <t>Capital Stack</t>
        </is>
      </c>
      <c r="B268" s="2" t="inlineStr">
        <is>
          <t>AD3</t>
        </is>
      </c>
      <c r="C268" s="2" t="n">
        <v>1103375089</v>
      </c>
      <c r="D268" s="2" t="inlineStr">
        <is>
          <t>Sourced</t>
        </is>
      </c>
      <c r="E268" s="3" t="inlineStr">
        <is>
          <t>Sequoia IRC Memo Sources &amp; Uses: Equity Contribution (fully committed)</t>
        </is>
      </c>
    </row>
    <row r="269">
      <c r="A269" s="4" t="inlineStr">
        <is>
          <t>Capital Stack</t>
        </is>
      </c>
      <c r="B269" s="4" t="inlineStr">
        <is>
          <t>AE3</t>
        </is>
      </c>
      <c r="C269" s="4" t="n">
        <v>0</v>
      </c>
      <c r="D269" s="4" t="inlineStr">
        <is>
          <t>Sourced</t>
        </is>
      </c>
      <c r="E269" s="5" t="inlineStr">
        <is>
          <t>Same convention as rows 5-6 for a common equity second position</t>
        </is>
      </c>
    </row>
    <row r="270">
      <c r="A270" s="2" t="inlineStr">
        <is>
          <t>Capital Stack</t>
        </is>
      </c>
      <c r="B270" s="2" t="inlineStr">
        <is>
          <t>AF3</t>
        </is>
      </c>
      <c r="C270" s="2" t="n">
        <v>100</v>
      </c>
      <c r="D270" s="2" t="inlineStr">
        <is>
          <t>Sourced</t>
        </is>
      </c>
      <c r="E270" s="3" t="inlineStr">
        <is>
          <t>Same convention as rows 5-6</t>
        </is>
      </c>
    </row>
    <row r="271">
      <c r="A271" s="4" t="inlineStr">
        <is>
          <t>Capital Stack</t>
        </is>
      </c>
      <c r="B271" s="4" t="inlineStr">
        <is>
          <t>U5</t>
        </is>
      </c>
      <c r="C271" s="4">
        <f>5449067/0.068</f>
        <v/>
      </c>
      <c r="D271" s="6" t="inlineStr">
        <is>
          <t>Verify</t>
        </is>
      </c>
      <c r="E271" s="5" t="inlineStr">
        <is>
          <t>Derived: SSP Original UW 2023 NOI $5,449,067 / 6.8% appraisal cap (Lakefront North Current Copy.pptx). No explicit SSP UW value; 2022 IC memo not found</t>
        </is>
      </c>
    </row>
    <row r="272">
      <c r="A272" s="2" t="inlineStr">
        <is>
          <t>Capital Stack</t>
        </is>
      </c>
      <c r="B272" s="2" t="inlineStr">
        <is>
          <t>AB5</t>
        </is>
      </c>
      <c r="C272" s="2" t="n">
        <v>0.0334</v>
      </c>
      <c r="D272" s="2" t="inlineStr">
        <is>
          <t>Sourced</t>
        </is>
      </c>
      <c r="E272" s="3" t="inlineStr">
        <is>
          <t>Lakefront North Current Copy.pptx Valuation Committee Q4 2025: implied spread at closing 3.34% over the 10 year Treasury (6.75% fixed coupon)</t>
        </is>
      </c>
    </row>
    <row r="273">
      <c r="A273" s="4" t="inlineStr">
        <is>
          <t>Capital Stack</t>
        </is>
      </c>
      <c r="B273" s="4" t="inlineStr">
        <is>
          <t>K5</t>
        </is>
      </c>
      <c r="C273" s="4" t="n">
        <v>1</v>
      </c>
      <c r="D273" s="4" t="inlineStr">
        <is>
          <t>Derived</t>
        </is>
      </c>
      <c r="E273" s="5" t="inlineStr">
        <is>
          <t>Lakefront North Valuation Committee: $50.0M equity invested vs $50.0M loan at origination, par implied</t>
        </is>
      </c>
    </row>
    <row r="274">
      <c r="A274" s="2" t="inlineStr">
        <is>
          <t>Capital Stack</t>
        </is>
      </c>
      <c r="B274" s="2" t="inlineStr">
        <is>
          <t>U6</t>
        </is>
      </c>
      <c r="C274" s="2" t="n">
        <v>67005112</v>
      </c>
      <c r="D274" s="2" t="inlineStr">
        <is>
          <t>Sourced</t>
        </is>
      </c>
      <c r="E274" s="3" t="inlineStr">
        <is>
          <t>Sixth Street Real Estate Memo - Balboa Retail 20230103.pdf: SSP In-Place Valuation (stabilized $91.7M)</t>
        </is>
      </c>
    </row>
    <row r="275">
      <c r="A275" s="4" t="inlineStr">
        <is>
          <t>Capital Stack</t>
        </is>
      </c>
      <c r="B275" s="4" t="inlineStr">
        <is>
          <t>S7</t>
        </is>
      </c>
      <c r="C275" s="4" t="n">
        <v>1850000000</v>
      </c>
      <c r="D275" s="4" t="inlineStr">
        <is>
          <t>Sourced</t>
        </is>
      </c>
      <c r="E275" s="5" t="inlineStr">
        <is>
          <t>Project Cubic_IC Memo_vF.pdf slide 11 Sources &amp; Uses at closing: $1,435M mortgage + $415M mezz</t>
        </is>
      </c>
    </row>
    <row r="276">
      <c r="A276" s="2" t="inlineStr">
        <is>
          <t>Capital Stack</t>
        </is>
      </c>
      <c r="B276" s="2" t="inlineStr">
        <is>
          <t>U7</t>
        </is>
      </c>
      <c r="C276" s="2" t="n">
        <v>1258500000</v>
      </c>
      <c r="D276" s="2" t="inlineStr">
        <is>
          <t>Sourced</t>
        </is>
      </c>
      <c r="E276" s="3" t="inlineStr">
        <is>
          <t>Cubic IC Memo Valuation/Credit Metrics: SSP stressed in-place portfolio value (71.8% LTV); stabilized $1,432.8M</t>
        </is>
      </c>
    </row>
    <row r="277">
      <c r="A277" s="4" t="inlineStr">
        <is>
          <t>Capital Stack</t>
        </is>
      </c>
      <c r="B277" s="4" t="inlineStr">
        <is>
          <t>U8</t>
        </is>
      </c>
      <c r="C277" s="4" t="n">
        <v>310343107</v>
      </c>
      <c r="D277" s="4" t="inlineStr">
        <is>
          <t>Sourced</t>
        </is>
      </c>
      <c r="E277" s="5" t="inlineStr">
        <is>
          <t>Project Eyas IC Memo_vF.pdf Valuation/Credit Metrics: in-place stressed value (71.1% LTV on $220.7M senior)</t>
        </is>
      </c>
    </row>
    <row r="278">
      <c r="A278" s="2" t="inlineStr">
        <is>
          <t>Capital Stack</t>
        </is>
      </c>
      <c r="B278" s="2" t="inlineStr">
        <is>
          <t>U9</t>
        </is>
      </c>
      <c r="C278" s="2" t="n">
        <v>688775190</v>
      </c>
      <c r="D278" s="2" t="inlineStr">
        <is>
          <t>Sourced</t>
        </is>
      </c>
      <c r="E278" s="3" t="inlineStr">
        <is>
          <t>Project Stripe IC Memo_vF.pdf Valuation/Credit Metrics: in-place stressed value (79.9% LTV)</t>
        </is>
      </c>
    </row>
    <row r="279">
      <c r="A279" s="4" t="inlineStr">
        <is>
          <t>Capital Stack</t>
        </is>
      </c>
      <c r="B279" s="4" t="inlineStr">
        <is>
          <t>U10</t>
        </is>
      </c>
      <c r="C279" s="4" t="n">
        <v>220400000</v>
      </c>
      <c r="D279" s="4" t="inlineStr">
        <is>
          <t>Sourced</t>
        </is>
      </c>
      <c r="E279" s="5" t="inlineStr">
        <is>
          <t>Project Bellevue_IC Memo_v11.pptx Wells valuation comparison: SSP As-Is Value (71.0% LTV); SSP as-stabilized $237.9M</t>
        </is>
      </c>
    </row>
    <row r="280">
      <c r="A280" s="2" t="inlineStr">
        <is>
          <t>Capital Stack</t>
        </is>
      </c>
      <c r="B280" s="2" t="inlineStr">
        <is>
          <t>U11</t>
        </is>
      </c>
      <c r="C280" s="2" t="n">
        <v>54100000</v>
      </c>
      <c r="D280" s="2" t="inlineStr">
        <is>
          <t>Sourced</t>
        </is>
      </c>
      <c r="E280" s="3" t="inlineStr">
        <is>
          <t>Fayetteville Two-Pack_SSP IC Memo.pdf slides 13-14: SSP underwritten as-is valuation $54.1M</t>
        </is>
      </c>
    </row>
    <row r="281">
      <c r="A281" s="4" t="inlineStr">
        <is>
          <t>Capital Stack</t>
        </is>
      </c>
      <c r="B281" s="4" t="inlineStr">
        <is>
          <t>U12</t>
        </is>
      </c>
      <c r="C281" s="4" t="n">
        <v>68000000</v>
      </c>
      <c r="D281" s="6" t="inlineStr">
        <is>
          <t>Verify</t>
        </is>
      </c>
      <c r="E281" s="5" t="inlineStr">
        <is>
          <t>Mosaic Apartments_SSP IC Memo.pdf slide 10: Stabilized Untrended value $68.0M (71.2% LTV); slide 12 shows $69.36M</t>
        </is>
      </c>
    </row>
    <row r="282">
      <c r="A282" s="2" t="inlineStr">
        <is>
          <t>Capital Stack</t>
        </is>
      </c>
      <c r="B282" s="2" t="inlineStr">
        <is>
          <t>U13</t>
        </is>
      </c>
      <c r="C282" s="2" t="n">
        <v>66000000</v>
      </c>
      <c r="D282" s="2" t="inlineStr">
        <is>
          <t>Sourced</t>
        </is>
      </c>
      <c r="E282" s="3" t="inlineStr">
        <is>
          <t>Arista Glendale_IC Memo_vF.pdf slides 12, 16: Stabilized Untrended value (72.7% LTV); in-place at reassessed taxes $64.3M</t>
        </is>
      </c>
    </row>
    <row r="283">
      <c r="A283" s="4" t="inlineStr">
        <is>
          <t>Capital Stack</t>
        </is>
      </c>
      <c r="B283" s="4" t="inlineStr">
        <is>
          <t>U14</t>
        </is>
      </c>
      <c r="C283" s="4" t="n">
        <v>122500000</v>
      </c>
      <c r="D283" s="6" t="inlineStr">
        <is>
          <t>Verify</t>
        </is>
      </c>
      <c r="E283" s="5" t="inlineStr">
        <is>
          <t>Grand Bay SF_Final Memo_v09.pptx: SSP underwriting stabilized exit value about $122.5M (56.7% LTV); no SSP as-is value stated</t>
        </is>
      </c>
    </row>
    <row r="284">
      <c r="A284" s="2" t="inlineStr">
        <is>
          <t>Capital Stack</t>
        </is>
      </c>
      <c r="B284" s="2" t="inlineStr">
        <is>
          <t>AI14</t>
        </is>
      </c>
      <c r="C284" s="2" t="n">
        <v>0.11</v>
      </c>
      <c r="D284" s="6" t="inlineStr">
        <is>
          <t>Verify</t>
        </is>
      </c>
      <c r="E284" s="3" t="inlineStr">
        <is>
          <t>Grand Bay Final Memo v09 Financing Assumptions: SSP retained spread SOFR + 11.0% (pre-closing Santander indication; whole loan SOFR + 5.15%)</t>
        </is>
      </c>
    </row>
    <row r="285">
      <c r="A285" s="4" t="inlineStr">
        <is>
          <t>Capital Stack</t>
        </is>
      </c>
      <c r="B285" s="4" t="inlineStr">
        <is>
          <t>AP14</t>
        </is>
      </c>
      <c r="C285" s="4" t="n">
        <v>0.08</v>
      </c>
      <c r="D285" s="6" t="inlineStr">
        <is>
          <t>Verify</t>
        </is>
      </c>
      <c r="E285" s="5" t="inlineStr">
        <is>
          <t>Grand Bay Final Memo v09 Preferred Equity Raise Update: LP pref investors receive 8% preferred return then 12% IRR hurdle</t>
        </is>
      </c>
    </row>
    <row r="286">
      <c r="A286" s="2" t="inlineStr">
        <is>
          <t>Capital Stack</t>
        </is>
      </c>
      <c r="B286" s="2" t="inlineStr">
        <is>
          <t>U19</t>
        </is>
      </c>
      <c r="C286" s="2">
        <f>53928360/0.7435+118658074/0.8269</f>
        <v/>
      </c>
      <c r="D286" s="2" t="inlineStr">
        <is>
          <t>Derived</t>
        </is>
      </c>
      <c r="E286" s="3" t="inlineStr">
        <is>
          <t>Scarlet Bay 2Q2026.pptx: SSP basis at close / SSP untrended LTV for Paragon Dunes and 3200 W Moore (as-completed); no appraisal</t>
        </is>
      </c>
    </row>
    <row r="287">
      <c r="A287" s="4" t="inlineStr">
        <is>
          <t>Capital Stack</t>
        </is>
      </c>
      <c r="B287" s="4" t="inlineStr">
        <is>
          <t>AA3</t>
        </is>
      </c>
      <c r="C287" s="4">
        <f>W3/T3*100</f>
        <v/>
      </c>
      <c r="D287" s="4" t="inlineStr">
        <is>
          <t>Formula</t>
        </is>
      </c>
      <c r="E287" s="5" t="inlineStr">
        <is>
          <t>Same formula convention as AA4</t>
        </is>
      </c>
    </row>
    <row r="288">
      <c r="A288" s="2" t="inlineStr">
        <is>
          <t>Capital Stack</t>
        </is>
      </c>
      <c r="B288" s="2" t="inlineStr">
        <is>
          <t>AH3</t>
        </is>
      </c>
      <c r="C288" s="2">
        <f>(W3+AD3)/T3*100</f>
        <v/>
      </c>
      <c r="D288" s="2" t="inlineStr">
        <is>
          <t>Formula</t>
        </is>
      </c>
      <c r="E288" s="3" t="inlineStr">
        <is>
          <t>Same formula convention as AH4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10" customWidth="1" min="3" max="3"/>
  </cols>
  <sheetData>
    <row r="1">
      <c r="A1" s="1" t="inlineStr">
        <is>
          <t>Tab</t>
        </is>
      </c>
      <c r="B1" s="1" t="inlineStr">
        <is>
          <t>Cells</t>
        </is>
      </c>
      <c r="C1" s="1" t="inlineStr">
        <is>
          <t>Why Left Blank</t>
        </is>
      </c>
    </row>
    <row r="2">
      <c r="A2" s="2" t="inlineStr">
        <is>
          <t>Loan Data</t>
        </is>
      </c>
      <c r="B2" s="2" t="inlineStr">
        <is>
          <t>BS/BT row 6</t>
        </is>
      </c>
      <c r="C2" s="3" t="inlineStr">
        <is>
          <t>Balboa cap notional and term not documented; only candidate (11/25/2025 collateral assignment) is an image scan to open manually</t>
        </is>
      </c>
    </row>
    <row r="3">
      <c r="A3" s="4" t="inlineStr">
        <is>
          <t>Loan Data</t>
        </is>
      </c>
      <c r="B3" s="4" t="inlineStr">
        <is>
          <t>DD/DE row 14, 16, 17</t>
        </is>
      </c>
      <c r="C3" s="5" t="inlineStr">
        <is>
          <t>No separate untrended NOI or DSCR published (Grand Bay, Alpine dollar NOI in an image, Highland)</t>
        </is>
      </c>
    </row>
    <row r="4">
      <c r="A4" s="2" t="inlineStr">
        <is>
          <t>Loan Data</t>
        </is>
      </c>
      <c r="B4" s="2" t="inlineStr">
        <is>
          <t>DF/DG row 15, 16, 23-34</t>
        </is>
      </c>
      <c r="C4" s="3" t="inlineStr">
        <is>
          <t>No trended NOI or DSCR published (Crystal Springs, Alpine, HLTN, KSL, AHPT)</t>
        </is>
      </c>
    </row>
    <row r="5">
      <c r="A5" s="4" t="inlineStr">
        <is>
          <t>Loan Data</t>
        </is>
      </c>
      <c r="B5" s="4" t="inlineStr">
        <is>
          <t>DB-DG rows 3, 7, 33, 34</t>
        </is>
      </c>
      <c r="C5" s="5" t="inlineStr">
        <is>
          <t>Sequoia, Cubic and Bridge Loan Trust NOI and DSCR not searched in this round</t>
        </is>
      </c>
    </row>
    <row r="6">
      <c r="A6" s="2" t="inlineStr">
        <is>
          <t>Capital Stack</t>
        </is>
      </c>
      <c r="B6" s="2" t="inlineStr">
        <is>
          <t>T row 7</t>
        </is>
      </c>
      <c r="C6" s="3" t="inlineStr">
        <is>
          <t>Cubic appraised value not stated in IC memo or Valcoms</t>
        </is>
      </c>
    </row>
    <row r="7">
      <c r="A7" s="4" t="inlineStr">
        <is>
          <t>Capital Stack</t>
        </is>
      </c>
      <c r="B7" s="4" t="inlineStr">
        <is>
          <t>T/U row 22; T row 19; AA/AH rows 19, 22</t>
        </is>
      </c>
      <c r="C7" s="5" t="inlineStr">
        <is>
          <t>Hearthstone (land program) has no asset value; Scarlet Bay has no appraisal</t>
        </is>
      </c>
    </row>
    <row r="8">
      <c r="A8" s="2" t="inlineStr">
        <is>
          <t>Capital Stack</t>
        </is>
      </c>
      <c r="B8" s="2" t="inlineStr">
        <is>
          <t>K row 19</t>
        </is>
      </c>
      <c r="C8" s="3" t="inlineStr">
        <is>
          <t>Scarlet Bay purchase price: par implied (no OID) but not stated</t>
        </is>
      </c>
    </row>
    <row r="9">
      <c r="A9" s="4" t="inlineStr">
        <is>
          <t>Capital Stack</t>
        </is>
      </c>
      <c r="B9" s="4" t="inlineStr">
        <is>
          <t>AI row 10</t>
        </is>
      </c>
      <c r="C9" s="5" t="inlineStr">
        <is>
          <t>Bellevue $12M preferred equity return not stated in IC memo or CBRE financing memo</t>
        </is>
      </c>
    </row>
    <row r="10">
      <c r="A10" s="2" t="inlineStr">
        <is>
          <t>Capital Stack</t>
        </is>
      </c>
      <c r="B10" s="2" t="inlineStr">
        <is>
          <t>Row 21 position fields</t>
        </is>
      </c>
      <c r="C10" s="3" t="inlineStr">
        <is>
          <t>Royalton Levered: only a bracketed Apollo term sheet in the vIC (65% advance, SOFR + 350, 3.15% floor); executed financing not found</t>
        </is>
      </c>
    </row>
    <row r="11">
      <c r="A11" s="4" t="inlineStr">
        <is>
          <t>Capital Stack</t>
        </is>
      </c>
      <c r="B11" s="4" t="inlineStr">
        <is>
          <t>Row 22 position stack</t>
        </is>
      </c>
      <c r="C11" s="5" t="inlineStr">
        <is>
          <t>Hearthstone: Goldman $100.4M facility vs existing X22 = Y22 = 0; layer structure left for you</t>
        </is>
      </c>
    </row>
    <row r="12">
      <c r="A12" s="2" t="inlineStr">
        <is>
          <t>Capital Stack</t>
        </is>
      </c>
      <c r="B12" s="2" t="inlineStr">
        <is>
          <t>AD18 (not overwritten)</t>
        </is>
      </c>
      <c r="C12" s="3" t="inlineStr">
        <is>
          <t>Prime Care mezz is $95.0M total ($80M closing + $15M future); AD18 shows $80M; SSP share $90.25M after SLTC $4.75M first loss</t>
        </is>
      </c>
    </row>
    <row r="13">
      <c r="A13" s="4" t="inlineStr">
        <is>
          <t>Capital Stack</t>
        </is>
      </c>
      <c r="B13" s="4" t="inlineStr">
        <is>
          <t>S6/T6, T9, U20, U33 (not overwritten)</t>
        </is>
      </c>
      <c r="C13" s="5" t="inlineStr">
        <is>
          <t>Box conflicts with existing values: Balboa memo total cost $86.5M and appraisal $105.8M; Stripe appraisal implied $773.3M vs T9 $374.7M; Royalton SSP as-is $150M vs U20 as-stabilized $287.4M; Bridge Loan Trust contribution value $403.6M vs U33 $446.2M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2026-10-20T17:49:53Z</dcterms:created>
  <dcterms:modified xmlns:dcterms="http://purl.org/dc/terms/" xmlns:xsi="http://www.w3.org/2001/XMLSchema-instance" xsi:type="dcterms:W3CDTF">2026-10-20T17:49:54Z</dcterms:modified>
</cp:coreProperties>
</file>