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Market Sizing" sheetId="3" state="visible" r:id="rId5"/>
    <sheet name="Unit Economics" sheetId="4" state="visible" r:id="rId6"/>
    <sheet name="Financial Build" sheetId="5" state="visible" r:id="rId7"/>
    <sheet name="Sensitivity" sheetId="6" state="visible" r:id="rId8"/>
    <sheet name="Competitive Map"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<sst xmlns="http://schemas.openxmlformats.org/spreadsheetml/2006/main" count="303" uniqueCount="255">
  <si>
    <t xml:space="preserve">HOSPITALITY SOFTWARE VENTURE</t>
  </si>
  <si>
    <t xml:space="preserve">Market Sizing, Unit Economics and Competitive Assessment</t>
  </si>
  <si>
    <t xml:space="preserve">Owner-Side Capex and Asset Performance Intelligence</t>
  </si>
  <si>
    <t xml:space="preserve">Prepared 10 September 2026</t>
  </si>
  <si>
    <t xml:space="preserve">Illustrative model. All assumptions are estimates to be validated in primary diligence.</t>
  </si>
  <si>
    <t xml:space="preserve">LEGEND</t>
  </si>
  <si>
    <t xml:space="preserve">Blue text</t>
  </si>
  <si>
    <t xml:space="preserve">Hardcoded input or scenario lever. Edit these.</t>
  </si>
  <si>
    <t xml:space="preserve">Black text</t>
  </si>
  <si>
    <t xml:space="preserve">Formula. Do not overwrite.</t>
  </si>
  <si>
    <t xml:space="preserve">Green text</t>
  </si>
  <si>
    <t xml:space="preserve">Link to another tab.</t>
  </si>
  <si>
    <t xml:space="preserve">Light green fill</t>
  </si>
  <si>
    <t xml:space="preserve">Favourable outcome in sensitivity tables.</t>
  </si>
  <si>
    <t xml:space="preserve">Light red fill</t>
  </si>
  <si>
    <t xml:space="preserve">Unfavourable outcome in sensitivity tables.</t>
  </si>
  <si>
    <t xml:space="preserve">Dashed box</t>
  </si>
  <si>
    <t xml:space="preserve">Base case cell.</t>
  </si>
  <si>
    <t xml:space="preserve">ASSUMPTIONS AND SCENARIO LEVERS</t>
  </si>
  <si>
    <t xml:space="preserve">Blue cells are inputs. The Active column resolves to the scenario named in cell C6.</t>
  </si>
  <si>
    <t xml:space="preserve">SCENARIO SELECTOR</t>
  </si>
  <si>
    <t xml:space="preserve">Base</t>
  </si>
  <si>
    <t xml:space="preserve">Assumption</t>
  </si>
  <si>
    <t xml:space="preserve">Active</t>
  </si>
  <si>
    <t xml:space="preserve">Downside</t>
  </si>
  <si>
    <t xml:space="preserve">Upside</t>
  </si>
  <si>
    <t xml:space="preserve">Unit</t>
  </si>
  <si>
    <t xml:space="preserve">Note / Basis</t>
  </si>
  <si>
    <t xml:space="preserve">PRICING AND CUSTOMER ACQUISITION</t>
  </si>
  <si>
    <t xml:space="preserve">Blended ACV, new logo (Year 1)</t>
  </si>
  <si>
    <t xml:space="preserve">$/yr</t>
  </si>
  <si>
    <t xml:space="preserve">Benchmarked to hotel BI and data subscriptions at $18k to $60k per year depending on portfolio size.</t>
  </si>
  <si>
    <t xml:space="preserve">ACV escalator on new logos</t>
  </si>
  <si>
    <t xml:space="preserve">% p.a.</t>
  </si>
  <si>
    <t xml:space="preserve">Annual increase in new-logo price as the dataset deepens and coverage improves.</t>
  </si>
  <si>
    <t xml:space="preserve">New logos added, Year 1</t>
  </si>
  <si>
    <t xml:space="preserve">#</t>
  </si>
  <si>
    <t xml:space="preserve">Founder-led sales only. Assumes design partners convert to paid.</t>
  </si>
  <si>
    <t xml:space="preserve">New logos added, Year 2</t>
  </si>
  <si>
    <t xml:space="preserve">First two account executives hired in Year 2.</t>
  </si>
  <si>
    <t xml:space="preserve">New logos added, Year 3</t>
  </si>
  <si>
    <t xml:space="preserve">Four-person sales team at roughly 12 logos per rep per year.</t>
  </si>
  <si>
    <t xml:space="preserve">New logos added, Year 4</t>
  </si>
  <si>
    <t xml:space="preserve">Six-person team plus channel via brokerage and lender referrals.</t>
  </si>
  <si>
    <t xml:space="preserve">New logos added, Year 5</t>
  </si>
  <si>
    <t xml:space="preserve">Eight-person team. Assumes no international expansion.</t>
  </si>
  <si>
    <t xml:space="preserve">RETENTION AND MARGIN</t>
  </si>
  <si>
    <t xml:space="preserve">Gross logo retention</t>
  </si>
  <si>
    <t xml:space="preserve">Data subscriptions in real assets typically retain 85% to 92%. Downside reflects a nice-to-have budget line.</t>
  </si>
  <si>
    <t xml:space="preserve">Net revenue retention</t>
  </si>
  <si>
    <t xml:space="preserve">Expansion from seat growth and added modules. NRR includes the effect of logo churn.</t>
  </si>
  <si>
    <t xml:space="preserve">Gross margin</t>
  </si>
  <si>
    <t xml:space="preserve">%</t>
  </si>
  <si>
    <t xml:space="preserve">Net of data acquisition, third-party licences, hosting and the data operations team.</t>
  </si>
  <si>
    <t xml:space="preserve">COST AND CAPITAL</t>
  </si>
  <si>
    <t xml:space="preserve">CAC per new logo</t>
  </si>
  <si>
    <t xml:space="preserve">$</t>
  </si>
  <si>
    <t xml:space="preserve">Fully loaded sales and marketing spend divided by new logos. Founder-led selling is cheaper in Year 1.</t>
  </si>
  <si>
    <t xml:space="preserve">Discount rate</t>
  </si>
  <si>
    <t xml:space="preserve">Used to discount the five-year customer gross profit stream in the LTV calculation.</t>
  </si>
  <si>
    <t xml:space="preserve">LTV horizon</t>
  </si>
  <si>
    <t xml:space="preserve">yrs</t>
  </si>
  <si>
    <t xml:space="preserve">LTV is capped at five years rather than taken to perpetuity, because NRR at or above the discount rate makes a perpetuity formula diverge.</t>
  </si>
  <si>
    <t xml:space="preserve">Source: assumption set constructed for this analysis. Pricing benchmarks informed by publicly disclosed hotel BI deployments (Otelier, Actabl). PIP cost ranges per Matthews Real Estate and HVS / Nehmer 2025 Hotel Cost Estimating Guide. All figures require primary validation.</t>
  </si>
  <si>
    <t xml:space="preserve">MARKET SIZING (1 OF 2)</t>
  </si>
  <si>
    <t xml:space="preserve">Bottom-up build. US only. Entity counts are estimates and are the single largest source of error in this model.</t>
  </si>
  <si>
    <t xml:space="preserve">CONCEPT A: OWNER-SIDE CAPEX AND PIP COST INTELLIGENCE</t>
  </si>
  <si>
    <t xml:space="preserve">Buyer Segment</t>
  </si>
  <si>
    <t xml:space="preserve">Entities (#)</t>
  </si>
  <si>
    <t xml:space="preserve">Addressable (%)</t>
  </si>
  <si>
    <t xml:space="preserve">Addressable (#)</t>
  </si>
  <si>
    <t xml:space="preserve">ACV ($)</t>
  </si>
  <si>
    <t xml:space="preserve">TAM ($)</t>
  </si>
  <si>
    <t xml:space="preserve">SAM ($)</t>
  </si>
  <si>
    <t xml:space="preserve">Basis</t>
  </si>
  <si>
    <t xml:space="preserve">Institutional owners (10+ hotels)</t>
  </si>
  <si>
    <t xml:space="preserve">Includes REITs, PE-backed platforms and family offices. Highest willingness to pay; capex is their largest discretionary line.</t>
  </si>
  <si>
    <t xml:space="preserve">Mid-market owners (3 to 9 hotels)</t>
  </si>
  <si>
    <t xml:space="preserve">Large in count, thin in budget. Addressability discounted heavily; likely a self-serve tier rather than enterprise sales.</t>
  </si>
  <si>
    <t xml:space="preserve">Hotel lenders and debt funds</t>
  </si>
  <si>
    <t xml:space="preserve">Underwrite PIP reserves on every loan. Pay for third-party data today via appraisal and consulting spend.</t>
  </si>
  <si>
    <t xml:space="preserve">Brokerage and valuation advisory</t>
  </si>
  <si>
    <t xml:space="preserve">JLL, CBRE, HVS, Newmark and regional shops. Data becomes an input to every BOV and appraisal.</t>
  </si>
  <si>
    <t xml:space="preserve">Third-party management companies</t>
  </si>
  <si>
    <t xml:space="preserve">Buy to defend capex recommendations to owners. Lower urgency; they do not fund the capex.</t>
  </si>
  <si>
    <t xml:space="preserve">Brands and franchisors</t>
  </si>
  <si>
    <t xml:space="preserve">Small count, large contracts. Long sales cycles and potential channel conflict with their own PIP function.</t>
  </si>
  <si>
    <t xml:space="preserve">Total / Wtd. Avg.</t>
  </si>
  <si>
    <t xml:space="preserve">SERVICEABLE OBTAINABLE MARKET</t>
  </si>
  <si>
    <t xml:space="preserve">Metric</t>
  </si>
  <si>
    <t xml:space="preserve">Value</t>
  </si>
  <si>
    <t xml:space="preserve">Note</t>
  </si>
  <si>
    <t xml:space="preserve">Total addressable market (TAM)</t>
  </si>
  <si>
    <t xml:space="preserve">All US entities in the six segments at full ACV.</t>
  </si>
  <si>
    <t xml:space="preserve">Serviceable addressable market (SAM)</t>
  </si>
  <si>
    <t xml:space="preserve">TAM filtered by the addressability haircut in column D.</t>
  </si>
  <si>
    <t xml:space="preserve">Addressable entities</t>
  </si>
  <si>
    <t xml:space="preserve">The realistic buyer universe. Note how small this is: this is a few-thousand-account market, not a long-tail one.</t>
  </si>
  <si>
    <t xml:space="preserve">Year 5 share of SAM captured</t>
  </si>
  <si>
    <t xml:space="preserve">Blue input. Cross-check against the customer count in the Financial Build tab.</t>
  </si>
  <si>
    <t xml:space="preserve">Implied Year 5 revenue (SOM)</t>
  </si>
  <si>
    <t xml:space="preserve">SAM multiplied by the share captured.</t>
  </si>
  <si>
    <t xml:space="preserve">KEY TAKEAWAY</t>
  </si>
  <si>
    <t xml:space="preserve">The TAM is modest. A roughly $200M US TAM supports a $30M to $60M revenue business at full maturity, which clears a seed and Series A but is thin for a venture outcome that requires a $1B exit. Two responses are available: expand internationally, where the same brand PIP dynamic exists across roughly 100,000 additional hotels, or expand the product from capex benchmarking into full owner-side asset performance, which roughly triples ACV. The second is the stronger path and is why Concept B on the next section is treated as an adjacency rather than an alternative.</t>
  </si>
  <si>
    <t xml:space="preserve">CONCEPT B: OWNER-SIDE ASSET PERFORMANCE INTELLIGENCE (ADJACENCY)</t>
  </si>
  <si>
    <t xml:space="preserve">The genuine white space. Too small for an Actabl or Otelier enterprise deployment, too large to run on spreadsheets.</t>
  </si>
  <si>
    <t xml:space="preserve">Mostly served or in an active process. Addressability discounted to reflect incumbent penetration.</t>
  </si>
  <si>
    <t xml:space="preserve">Owners with 3+ third-party managers</t>
  </si>
  <si>
    <t xml:space="preserve">The sharpest wedge: no single manager's BI system can see across the portfolio, so the owner is structurally unserved.</t>
  </si>
  <si>
    <t xml:space="preserve">Note on overlap: the two concepts share buyers, so the TAMs are not additive. Concept B entity counts are a subset of Concept A. Sources: US hotel supply of 91,797 properties and 5.8M rooms per AHLA State of the Industry 2024. Owner entity counts are estimates derived from STR and Lodging Econometrics ownership concentration data and require primary validation.</t>
  </si>
  <si>
    <t xml:space="preserve">CUSTOMER UNIT ECONOMICS</t>
  </si>
  <si>
    <t xml:space="preserve">Driven by the Assumptions tab. Change the scenario selector there to reprice this page.</t>
  </si>
  <si>
    <t xml:space="preserve">ACTIVE SCENARIO</t>
  </si>
  <si>
    <t xml:space="preserve">INPUTS (LINKED)</t>
  </si>
  <si>
    <t xml:space="preserve">Blended ACV, new logo</t>
  </si>
  <si>
    <t xml:space="preserve">FIVE-YEAR DISCOUNTED GROSS PROFIT PER CUSTOMER</t>
  </si>
  <si>
    <t xml:space="preserve">Line</t>
  </si>
  <si>
    <t xml:space="preserve">Year 1</t>
  </si>
  <si>
    <t xml:space="preserve">Year 2</t>
  </si>
  <si>
    <t xml:space="preserve">Year 3</t>
  </si>
  <si>
    <t xml:space="preserve">Year 4</t>
  </si>
  <si>
    <t xml:space="preserve">Year 5</t>
  </si>
  <si>
    <t xml:space="preserve">Total</t>
  </si>
  <si>
    <t xml:space="preserve">Revenue per retained customer</t>
  </si>
  <si>
    <t xml:space="preserve">Gross profit per customer</t>
  </si>
  <si>
    <t xml:space="preserve">Discount factor</t>
  </si>
  <si>
    <t xml:space="preserve">PV of gross profit</t>
  </si>
  <si>
    <t xml:space="preserve">HEADLINE METRICS</t>
  </si>
  <si>
    <t xml:space="preserve">Benchmark</t>
  </si>
  <si>
    <t xml:space="preserve">Lifetime value (5-yr, discounted)</t>
  </si>
  <si>
    <t xml:space="preserve">Capped at five years. A perpetuity formula diverges when NRR meets or exceeds the discount rate.</t>
  </si>
  <si>
    <t xml:space="preserve">Customer acquisition cost</t>
  </si>
  <si>
    <t xml:space="preserve">Fully loaded sales and marketing per new logo.</t>
  </si>
  <si>
    <t xml:space="preserve">LTV / CAC</t>
  </si>
  <si>
    <t xml:space="preserve">Venture bar is 3.0x. Below 2.0x the model does not fund its own growth.</t>
  </si>
  <si>
    <t xml:space="preserve">CAC payback</t>
  </si>
  <si>
    <t xml:space="preserve">Months. Best-in-class vertical SaaS is 12 to 18 months; above 24 months is a financing problem.</t>
  </si>
  <si>
    <t xml:space="preserve">Year 1 gross profit per customer</t>
  </si>
  <si>
    <t xml:space="preserve">Annual contribution before sales, engineering and overhead.</t>
  </si>
  <si>
    <t xml:space="preserve">Implied average customer life</t>
  </si>
  <si>
    <t xml:space="preserve">Years. Shown for reference only; the LTV above deliberately ignores it and stops at five years.</t>
  </si>
  <si>
    <t xml:space="preserve">Note: LTV is deliberately conservative. It assumes no customer survives beyond five years and applies a 12% discount rate to the gross profit stream. A perpetuity-based LTV on the base case would be unbounded, which is why that convention is rejected here.</t>
  </si>
  <si>
    <t xml:space="preserve">FIVE-YEAR FINANCIAL BUILD</t>
  </si>
  <si>
    <t xml:space="preserve">ARR bridge, profit and loss and capital requirement. All operating cost lines are blue inputs on this page.</t>
  </si>
  <si>
    <t xml:space="preserve">Line Item</t>
  </si>
  <si>
    <t xml:space="preserve">CUSTOMER COUNT</t>
  </si>
  <si>
    <t xml:space="preserve">New logos added</t>
  </si>
  <si>
    <t xml:space="preserve">From the Assumptions tab; scenario driven.</t>
  </si>
  <si>
    <t xml:space="preserve">Beginning customers</t>
  </si>
  <si>
    <t xml:space="preserve">Prior year ending balance.</t>
  </si>
  <si>
    <t xml:space="preserve">Churned customers</t>
  </si>
  <si>
    <t xml:space="preserve">Beginning balance multiplied by one minus gross logo retention.</t>
  </si>
  <si>
    <t xml:space="preserve">Ending customers</t>
  </si>
  <si>
    <t xml:space="preserve">Drives the ARR bridge below.</t>
  </si>
  <si>
    <t xml:space="preserve">ARR BRIDGE</t>
  </si>
  <si>
    <t xml:space="preserve">New-logo ACV</t>
  </si>
  <si>
    <t xml:space="preserve">Escalates annually on new logos only, to avoid double counting expansion.</t>
  </si>
  <si>
    <t xml:space="preserve">Beginning ARR</t>
  </si>
  <si>
    <t xml:space="preserve">Prior year ending ARR.</t>
  </si>
  <si>
    <t xml:space="preserve">New ARR</t>
  </si>
  <si>
    <t xml:space="preserve">New logos multiplied by that year's new-logo ACV.</t>
  </si>
  <si>
    <t xml:space="preserve">Expansion ARR</t>
  </si>
  <si>
    <t xml:space="preserve">NRR less gross logo retention isolates upsell on the surviving base.</t>
  </si>
  <si>
    <t xml:space="preserve">Churned ARR</t>
  </si>
  <si>
    <t xml:space="preserve">Revenue lost to logo churn.</t>
  </si>
  <si>
    <t xml:space="preserve">Ending ARR</t>
  </si>
  <si>
    <t xml:space="preserve">The headline number a Series A investor will index on.</t>
  </si>
  <si>
    <t xml:space="preserve">PROFIT AND LOSS</t>
  </si>
  <si>
    <t xml:space="preserve">Revenue (recognised)</t>
  </si>
  <si>
    <t xml:space="preserve">Approximated as the average of beginning and ending ARR, reflecting mid-year contract starts.</t>
  </si>
  <si>
    <t xml:space="preserve">Cost of revenue</t>
  </si>
  <si>
    <t xml:space="preserve">Data acquisition, third-party licences, hosting and the data operations team.</t>
  </si>
  <si>
    <t xml:space="preserve">Gross profit</t>
  </si>
  <si>
    <t xml:space="preserve">Sales and marketing: new-logo CAC</t>
  </si>
  <si>
    <t xml:space="preserve">New logos multiplied by CAC. Excludes customer success, which sits in cost of revenue.</t>
  </si>
  <si>
    <t xml:space="preserve">Sales and marketing: overhead</t>
  </si>
  <si>
    <t xml:space="preserve">Blue input. Sales leadership, marketing programmes, conferences and the expansion-selling motion, none of which are captured in new-logo CAC.</t>
  </si>
  <si>
    <t xml:space="preserve">Total sales and marketing</t>
  </si>
  <si>
    <t xml:space="preserve">Research and development</t>
  </si>
  <si>
    <t xml:space="preserve">Blue input. Assumes 4 engineers in Year 1 rising to 16 by Year 5, fully loaded at roughly $225k.</t>
  </si>
  <si>
    <t xml:space="preserve">General and administrative</t>
  </si>
  <si>
    <t xml:space="preserve">Blue input. Finance, legal, insurance, facilities and founder compensation.</t>
  </si>
  <si>
    <t xml:space="preserve">EBITDA</t>
  </si>
  <si>
    <t xml:space="preserve">EBITDA margin</t>
  </si>
  <si>
    <t xml:space="preserve">Negative through the investment period, as expected for this stage.</t>
  </si>
  <si>
    <t xml:space="preserve">CAPITAL AND EFFICIENCY</t>
  </si>
  <si>
    <t xml:space="preserve">Cumulative EBITDA</t>
  </si>
  <si>
    <t xml:space="preserve">Peak negative value is the approximate equity requirement before profitability.</t>
  </si>
  <si>
    <t xml:space="preserve">Peak equity requirement</t>
  </si>
  <si>
    <t xml:space="preserve">Running low-water mark of cumulative EBITDA. This is the approximate equity the plan consumes before it turns.</t>
  </si>
  <si>
    <t xml:space="preserve">Magic number</t>
  </si>
  <si>
    <t xml:space="preserve">Net new ARR divided by prior-year total sales and marketing. Above 0.75 justifies accelerating spend; above 1.5 usually means the CAC assumption is too optimistic.</t>
  </si>
  <si>
    <t xml:space="preserve">Headcount (period end)</t>
  </si>
  <si>
    <t xml:space="preserve">Blue input. Engineering, data operations, sales and administration combined.</t>
  </si>
  <si>
    <t xml:space="preserve">Ending ARR per employee</t>
  </si>
  <si>
    <t xml:space="preserve">Efficiency check. Vertical SaaS at scale targets $150k to $250k.</t>
  </si>
  <si>
    <t xml:space="preserve">Note: revenue recognition is approximated rather than cohort-modelled, which understates Year 1 and overstates nothing material thereafter. Operating cost lines are entered directly rather than derived from headcount, so headcount is a memo line and does not drive the profit and loss.</t>
  </si>
  <si>
    <t xml:space="preserve">SENSITIVITY ANALYSIS</t>
  </si>
  <si>
    <t xml:space="preserve">Computed on the Base scenario inputs for ACV, gross margin and discount rate. Base-case cell is outlined.</t>
  </si>
  <si>
    <t xml:space="preserve">LTV / CAC: NET REVENUE RETENTION VERSUS CUSTOMER ACQUISITION COST</t>
  </si>
  <si>
    <t xml:space="preserve">NRR \ CAC</t>
  </si>
  <si>
    <t xml:space="preserve">Reads: the base case clears the 3.0x venture bar with limited headroom. LTV/CAC falls below 3.0x whenever CAC exceeds roughly $32k at base retention, which makes sales efficiency the single most important operating discipline in the plan.</t>
  </si>
  <si>
    <t xml:space="preserve">YEAR 5 ENDING ARR: CUSTOMER COUNT VERSUS BLENDED ACV</t>
  </si>
  <si>
    <t xml:space="preserve">Customers \ ACV</t>
  </si>
  <si>
    <t xml:space="preserve">Reads: an $8M to $9M Year 5 ARR is the realistic base outcome and is an independent cross-check on the Financial Build tab, which arrives at a similar figure by a different route. Clearing $12M by Year 5 requires either 290 customers, which is 12% of the entire addressable universe, or a $44k ACV, which implies selling the full asset performance product rather than capex data alone.</t>
  </si>
  <si>
    <t xml:space="preserve">COMPETITIVE MAP</t>
  </si>
  <si>
    <t xml:space="preserve">Overlap rated High, Medium or Low. Shading: red denotes a crowded lane, green denotes open space.</t>
  </si>
  <si>
    <t xml:space="preserve">Player</t>
  </si>
  <si>
    <t xml:space="preserve">Primary Buyer</t>
  </si>
  <si>
    <t xml:space="preserve">What It Does</t>
  </si>
  <si>
    <t xml:space="preserve">Overlap: Capex Data</t>
  </si>
  <si>
    <t xml:space="preserve">Overlap: Owner Reporting</t>
  </si>
  <si>
    <t xml:space="preserve">Implication</t>
  </si>
  <si>
    <t xml:space="preserve">Actabl (ProfitSword, Transcendent, Hotel Effectiveness)</t>
  </si>
  <si>
    <t xml:space="preserve">Management companies; large owners</t>
  </si>
  <si>
    <t xml:space="preserve">Portfolio budgeting, business intelligence, labour management and enterprise asset management including capex planning. The most complete suite in the market.</t>
  </si>
  <si>
    <t xml:space="preserve">Medium</t>
  </si>
  <si>
    <t xml:space="preserve">High</t>
  </si>
  <si>
    <t xml:space="preserve">The incumbent to beat on reporting. Transcendent gives them a capex adjacency, but it manages a single owner's capex, it does not benchmark across owners.</t>
  </si>
  <si>
    <t xml:space="preserve">Otelier (IntelliSight)</t>
  </si>
  <si>
    <t xml:space="preserve">Management companies; institutional owners</t>
  </si>
  <si>
    <t xml:space="preserve">Data centralisation and normalisation across PMS and accounting systems, with more than 100 prebuilt hospitality dashboards.</t>
  </si>
  <si>
    <t xml:space="preserve">Low</t>
  </si>
  <si>
    <t xml:space="preserve">Directly sells the owner normalisation use case. Highline Hospitality, a 21-hotel $1.7B owner, deployed it for exactly that. This closes the door on a pure normalisation pitch.</t>
  </si>
  <si>
    <t xml:space="preserve">Inn-Flow</t>
  </si>
  <si>
    <t xml:space="preserve">Small and mid-market operators</t>
  </si>
  <si>
    <t xml:space="preserve">Accounting, payroll, labour and procurement with embedded BI. Number one ranked hotel accounting product in the 2026 HotelTechAwards.</t>
  </si>
  <si>
    <t xml:space="preserve">Owns the mid-market back office. A partner rather than a competitor if the product sits above the ledger.</t>
  </si>
  <si>
    <t xml:space="preserve">M3 / Aptech</t>
  </si>
  <si>
    <t xml:space="preserve">Management companies</t>
  </si>
  <si>
    <t xml:space="preserve">Hospitality-specific accounting and financial reporting. Deep installed base.</t>
  </si>
  <si>
    <t xml:space="preserve">System of record, not system of insight. The natural integration target.</t>
  </si>
  <si>
    <t xml:space="preserve">HVS and Nehmer Cost Estimating Guide</t>
  </si>
  <si>
    <t xml:space="preserve">Owners, appraisers, contractors</t>
  </si>
  <si>
    <t xml:space="preserve">Annual published guide to hotel construction and renovation cost tiers by category and scope.</t>
  </si>
  <si>
    <t xml:space="preserve">The closest thing to a capex benchmark today, and it is a static annual publication rather than a queryable dataset tied to actual outcomes.</t>
  </si>
  <si>
    <t xml:space="preserve">ISHC CapEx Study (with HAMA)</t>
  </si>
  <si>
    <t xml:space="preserve">Owners and asset managers</t>
  </si>
  <si>
    <t xml:space="preserve">Periodic industry study of hotel capital expenditure, described as the industry's exclusive capex resource.</t>
  </si>
  <si>
    <t xml:space="preserve">Confirms the demand and confirms the gap. A study published every few years is not a product.</t>
  </si>
  <si>
    <t xml:space="preserve">STR / CoStar</t>
  </si>
  <si>
    <t xml:space="preserve">Everyone</t>
  </si>
  <si>
    <t xml:space="preserve">Benchmarking of occupancy, ADR and RevPAR. The industry's revenue-side data standard.</t>
  </si>
  <si>
    <t xml:space="preserve">The proof that a hospitality data monopoly can be built and defended. Also the most credible acquirer, and the most dangerous entrant if they move to the cost side.</t>
  </si>
  <si>
    <t xml:space="preserve">CBRE, JLL and Newmark hotels advisory</t>
  </si>
  <si>
    <t xml:space="preserve">Owners and lenders</t>
  </si>
  <si>
    <t xml:space="preserve">Transaction advisory, valuation and consulting. Hold significant proprietary capex data inside deal files.</t>
  </si>
  <si>
    <t xml:space="preserve">Sit on the data but monetise it as billable hours. Structurally unlikely to productise it, and plausible design partners.</t>
  </si>
  <si>
    <t xml:space="preserve">Lodging Econometrics</t>
  </si>
  <si>
    <t xml:space="preserve">Developers, brands, lenders</t>
  </si>
  <si>
    <t xml:space="preserve">Construction pipeline and development tracking data.</t>
  </si>
  <si>
    <t xml:space="preserve">Adjacent dataset. Pipeline, not cost. A partnership or data-swap candidate.</t>
  </si>
  <si>
    <t xml:space="preserve">CONCLUSION</t>
  </si>
  <si>
    <t xml:space="preserve">The owner reporting lane reads red because it is red. Otelier and Actabl are both funded, both shipping, and at least one has publicly landed the exact institutional-owner normalisation use case. Entering that lane head-on means competing on features against companies with a five-year head start and no differentiated access. The capex and PIP benchmarking lane reads green because the only participants are a consulting firm publishing an annual book, an industry association publishing a periodic study, and brokerages sitting on the data while billing hours against it. None of them are building a live, queryable dataset, and none of them are structurally motivated to. That asymmetry, not the software, is the business.</t>
  </si>
  <si>
    <t xml:space="preserve">Sources: Actabl product pages (actabl.com); Otelier press release, Highline Hospitality Partners deployment, 21 hotels and $1.7B AUM; Otelier and Stonebridge partnership, 160 hotels; Inn-Flow, 2026 HotelTechAwards; ISHC CapEx 2023 study with HAMA; HVS / Nehmer 2025 Hotel Cost Estimating Guide. Accessed 10 September 2026.</t>
  </si>
</sst>
</file>

<file path=xl/styles.xml><?xml version="1.0" encoding="utf-8"?>
<styleSheet xmlns="http://schemas.openxmlformats.org/spreadsheetml/2006/main">
  <numFmts count="7">
    <numFmt numFmtId="164" formatCode="General"/>
    <numFmt numFmtId="165" formatCode="\$#,##0;&quot;($&quot;#,##0\);\-"/>
    <numFmt numFmtId="166" formatCode="0.0%;\(0.0%\);\-"/>
    <numFmt numFmtId="167" formatCode="#,##0;\(#,##0\);\-"/>
    <numFmt numFmtId="168" formatCode="0.000"/>
    <numFmt numFmtId="169" formatCode="0.0\x"/>
    <numFmt numFmtId="170" formatCode="#,##0.0;\(#,##0.0\);\-"/>
  </numFmts>
  <fonts count="26">
    <font>
      <sz val="11"/>
      <color theme="1"/>
      <name val="Calibri"/>
      <family val="2"/>
      <charset val="1"/>
    </font>
    <font>
      <sz val="10"/>
      <name val="Arial"/>
      <family val="0"/>
    </font>
    <font>
      <sz val="10"/>
      <name val="Arial"/>
      <family val="0"/>
    </font>
    <font>
      <sz val="10"/>
      <name val="Arial"/>
      <family val="0"/>
    </font>
    <font>
      <b val="true"/>
      <sz val="28"/>
      <color rgb="FFFFFFFF"/>
      <name val="Calibri"/>
      <family val="0"/>
      <charset val="1"/>
    </font>
    <font>
      <sz val="13"/>
      <color rgb="FFFFFFFF"/>
      <name val="Calibri"/>
      <family val="0"/>
      <charset val="1"/>
    </font>
    <font>
      <sz val="13"/>
      <color rgb="FFD9E1F2"/>
      <name val="Calibri"/>
      <family val="0"/>
      <charset val="1"/>
    </font>
    <font>
      <sz val="10"/>
      <color rgb="FFD9E1F2"/>
      <name val="Calibri"/>
      <family val="0"/>
      <charset val="1"/>
    </font>
    <font>
      <i val="true"/>
      <sz val="9"/>
      <color rgb="FFD9E1F2"/>
      <name val="Calibri"/>
      <family val="0"/>
      <charset val="1"/>
    </font>
    <font>
      <b val="true"/>
      <sz val="10"/>
      <color rgb="FFFFFFFF"/>
      <name val="Calibri"/>
      <family val="0"/>
      <charset val="1"/>
    </font>
    <font>
      <b val="true"/>
      <sz val="9"/>
      <color rgb="FFD9E1F2"/>
      <name val="Calibri"/>
      <family val="0"/>
      <charset val="1"/>
    </font>
    <font>
      <sz val="9"/>
      <color rgb="FFFFFFFF"/>
      <name val="Calibri"/>
      <family val="0"/>
      <charset val="1"/>
    </font>
    <font>
      <b val="true"/>
      <sz val="14"/>
      <color rgb="FF0F2F51"/>
      <name val="Calibri"/>
      <family val="0"/>
      <charset val="1"/>
    </font>
    <font>
      <i val="true"/>
      <sz val="9"/>
      <color rgb="FF9AA0A8"/>
      <name val="Calibri"/>
      <family val="0"/>
      <charset val="1"/>
    </font>
    <font>
      <b val="true"/>
      <sz val="10"/>
      <color rgb="FF0F2F51"/>
      <name val="Calibri"/>
      <family val="0"/>
      <charset val="1"/>
    </font>
    <font>
      <b val="true"/>
      <sz val="10"/>
      <color rgb="FF0000FF"/>
      <name val="Calibri"/>
      <family val="0"/>
      <charset val="1"/>
    </font>
    <font>
      <b val="true"/>
      <sz val="9"/>
      <color rgb="FFFFFFFF"/>
      <name val="Calibri"/>
      <family val="0"/>
      <charset val="1"/>
    </font>
    <font>
      <sz val="10"/>
      <color rgb="FF080808"/>
      <name val="Calibri"/>
      <family val="0"/>
      <charset val="1"/>
    </font>
    <font>
      <b val="true"/>
      <sz val="10"/>
      <color rgb="FF080808"/>
      <name val="Calibri"/>
      <family val="0"/>
      <charset val="1"/>
    </font>
    <font>
      <sz val="10"/>
      <color rgb="FF0000FF"/>
      <name val="Calibri"/>
      <family val="0"/>
      <charset val="1"/>
    </font>
    <font>
      <sz val="9"/>
      <color rgb="FF9AA0A8"/>
      <name val="Calibri"/>
      <family val="0"/>
      <charset val="1"/>
    </font>
    <font>
      <sz val="9"/>
      <color rgb="FF080808"/>
      <name val="Calibri"/>
      <family val="0"/>
      <charset val="1"/>
    </font>
    <font>
      <i val="true"/>
      <sz val="7"/>
      <color rgb="FF9AA0A8"/>
      <name val="Calibri"/>
      <family val="0"/>
      <charset val="1"/>
    </font>
    <font>
      <b val="true"/>
      <sz val="10"/>
      <color rgb="FF008000"/>
      <name val="Calibri"/>
      <family val="0"/>
      <charset val="1"/>
    </font>
    <font>
      <sz val="10"/>
      <name val="Calibri"/>
      <family val="0"/>
      <charset val="1"/>
    </font>
    <font>
      <sz val="10"/>
      <color rgb="FF008000"/>
      <name val="Calibri"/>
      <family val="0"/>
      <charset val="1"/>
    </font>
  </fonts>
  <fills count="8">
    <fill>
      <patternFill patternType="none"/>
    </fill>
    <fill>
      <patternFill patternType="gray125"/>
    </fill>
    <fill>
      <patternFill patternType="solid">
        <fgColor rgb="FF0F2F51"/>
        <bgColor rgb="FF333333"/>
      </patternFill>
    </fill>
    <fill>
      <patternFill patternType="solid">
        <fgColor rgb="FFF2F2F2"/>
        <bgColor rgb="FFE2EFDA"/>
      </patternFill>
    </fill>
    <fill>
      <patternFill patternType="solid">
        <fgColor rgb="FFD9E1F2"/>
        <bgColor rgb="FFE2EFDA"/>
      </patternFill>
    </fill>
    <fill>
      <patternFill patternType="solid">
        <fgColor rgb="FF005587"/>
        <bgColor rgb="FF008080"/>
      </patternFill>
    </fill>
    <fill>
      <patternFill patternType="solid">
        <fgColor rgb="FFF2DCDB"/>
        <bgColor rgb="FFD9E1F2"/>
      </patternFill>
    </fill>
    <fill>
      <patternFill patternType="solid">
        <fgColor rgb="FFE2EFDA"/>
        <bgColor rgb="FFF2F2F2"/>
      </patternFill>
    </fill>
  </fills>
  <borders count="5">
    <border diagonalUp="false" diagonalDown="false">
      <left/>
      <right/>
      <top/>
      <bottom/>
      <diagonal/>
    </border>
    <border diagonalUp="false" diagonalDown="false">
      <left/>
      <right/>
      <top style="medium">
        <color rgb="FFD9E1F2"/>
      </top>
      <bottom/>
      <diagonal/>
    </border>
    <border diagonalUp="false" diagonalDown="false">
      <left/>
      <right/>
      <top/>
      <bottom style="medium">
        <color rgb="FF0F2F51"/>
      </bottom>
      <diagonal/>
    </border>
    <border diagonalUp="false" diagonalDown="false">
      <left/>
      <right/>
      <top style="medium">
        <color rgb="FF0F2F51"/>
      </top>
      <bottom/>
      <diagonal/>
    </border>
    <border diagonalUp="false" diagonalDown="false">
      <left style="dashed">
        <color rgb="FF0F2F51"/>
      </left>
      <right style="dashed">
        <color rgb="FF0F2F51"/>
      </right>
      <top style="dashed">
        <color rgb="FF0F2F51"/>
      </top>
      <bottom style="dashed">
        <color rgb="FF0F2F5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true" applyProtection="false">
      <alignment horizontal="center" vertical="bottom"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5" fontId="18" fillId="4" borderId="0" xfId="0" applyFont="true" applyBorder="false" applyAlignment="true" applyProtection="false">
      <alignment horizontal="center" vertical="bottom" textRotation="0" wrapText="false" indent="0" shrinkToFit="false"/>
      <protection locked="true" hidden="false"/>
    </xf>
    <xf numFmtId="165" fontId="19" fillId="3" borderId="0" xfId="0" applyFont="true" applyBorder="false" applyAlignment="true" applyProtection="false">
      <alignment horizontal="center"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xf numFmtId="164" fontId="21" fillId="3"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7" fontId="18" fillId="4" borderId="0" xfId="0" applyFont="true" applyBorder="false" applyAlignment="true" applyProtection="false">
      <alignment horizontal="center" vertical="bottom" textRotation="0" wrapText="false" indent="0" shrinkToFit="false"/>
      <protection locked="true" hidden="false"/>
    </xf>
    <xf numFmtId="167" fontId="19" fillId="3"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center" vertical="bottom" textRotation="0" wrapText="false" indent="0" shrinkToFit="false"/>
      <protection locked="true" hidden="false"/>
    </xf>
    <xf numFmtId="166" fontId="19" fillId="3"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center" vertical="bottom" textRotation="0" wrapText="false" indent="0" shrinkToFit="false"/>
      <protection locked="true" hidden="false"/>
    </xf>
    <xf numFmtId="165" fontId="19" fillId="0" borderId="0" xfId="0" applyFont="true" applyBorder="false" applyAlignment="true" applyProtection="false">
      <alignment horizontal="center" vertical="bottom" textRotation="0" wrapText="false" indent="0" shrinkToFit="false"/>
      <protection locked="true" hidden="false"/>
    </xf>
    <xf numFmtId="165" fontId="17" fillId="0" borderId="0" xfId="0" applyFont="true" applyBorder="false" applyAlignment="true" applyProtection="false">
      <alignment horizontal="center" vertical="bottom" textRotation="0" wrapText="false" indent="0" shrinkToFit="false"/>
      <protection locked="true" hidden="false"/>
    </xf>
    <xf numFmtId="167" fontId="17" fillId="3" borderId="0" xfId="0" applyFont="true" applyBorder="false" applyAlignment="true" applyProtection="false">
      <alignment horizontal="center" vertical="bottom" textRotation="0" wrapText="false" indent="0" shrinkToFit="false"/>
      <protection locked="true" hidden="false"/>
    </xf>
    <xf numFmtId="165" fontId="17" fillId="3" borderId="0" xfId="0" applyFont="true" applyBorder="false" applyAlignment="true" applyProtection="false">
      <alignment horizontal="center" vertical="bottom" textRotation="0" wrapText="false" indent="0" shrinkToFit="false"/>
      <protection locked="true" hidden="false"/>
    </xf>
    <xf numFmtId="164" fontId="9" fillId="2" borderId="3" xfId="0" applyFont="true" applyBorder="true" applyAlignment="false" applyProtection="false">
      <alignment horizontal="general" vertical="bottom" textRotation="0" wrapText="false" indent="0" shrinkToFit="false"/>
      <protection locked="true" hidden="false"/>
    </xf>
    <xf numFmtId="167" fontId="9" fillId="2" borderId="3" xfId="0" applyFont="true" applyBorder="true" applyAlignment="true" applyProtection="false">
      <alignment horizontal="center" vertical="bottom" textRotation="0" wrapText="false" indent="0" shrinkToFit="false"/>
      <protection locked="true" hidden="false"/>
    </xf>
    <xf numFmtId="164" fontId="0" fillId="2" borderId="3" xfId="0" applyFont="false" applyBorder="true" applyAlignment="true" applyProtection="false">
      <alignment horizontal="center" vertical="bottom" textRotation="0" wrapText="false" indent="0" shrinkToFit="false"/>
      <protection locked="true" hidden="false"/>
    </xf>
    <xf numFmtId="165" fontId="9" fillId="2" borderId="3" xfId="0" applyFont="true" applyBorder="true" applyAlignment="true" applyProtection="false">
      <alignment horizontal="center"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center" vertical="bottom" textRotation="0" wrapText="fals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5" fontId="23"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7" fontId="23" fillId="0" borderId="0" xfId="0" applyFont="true" applyBorder="false" applyAlignment="true" applyProtection="false">
      <alignment horizontal="center" vertical="bottom" textRotation="0" wrapText="false" indent="0" shrinkToFit="false"/>
      <protection locked="true" hidden="false"/>
    </xf>
    <xf numFmtId="166" fontId="15" fillId="4" borderId="0" xfId="0" applyFont="true" applyBorder="false" applyAlignment="true" applyProtection="false">
      <alignment horizontal="center" vertical="bottom" textRotation="0" wrapText="false" indent="0" shrinkToFit="false"/>
      <protection locked="true" hidden="false"/>
    </xf>
    <xf numFmtId="165" fontId="18" fillId="0" borderId="0" xfId="0" applyFont="true" applyBorder="false" applyAlignment="true" applyProtection="false">
      <alignment horizontal="center" vertical="bottom" textRotation="0" wrapText="false" indent="0" shrinkToFit="false"/>
      <protection locked="true" hidden="false"/>
    </xf>
    <xf numFmtId="164" fontId="17" fillId="3" borderId="0" xfId="0" applyFont="true" applyBorder="true" applyAlignment="true" applyProtection="false">
      <alignment horizontal="justify" vertical="top" textRotation="0" wrapText="true" indent="0" shrinkToFit="false"/>
      <protection locked="true" hidden="false"/>
    </xf>
    <xf numFmtId="164" fontId="24" fillId="2" borderId="3" xfId="0" applyFont="true" applyBorder="true" applyAlignment="true" applyProtection="false">
      <alignment horizontal="center" vertical="bottom" textRotation="0" wrapText="false" indent="0" shrinkToFit="false"/>
      <protection locked="true" hidden="false"/>
    </xf>
    <xf numFmtId="164" fontId="23" fillId="4" borderId="0" xfId="0" applyFont="true" applyBorder="false" applyAlignment="true" applyProtection="false">
      <alignment horizontal="center" vertical="bottom" textRotation="0" wrapText="false" indent="0" shrinkToFit="false"/>
      <protection locked="true" hidden="false"/>
    </xf>
    <xf numFmtId="165" fontId="25" fillId="0" borderId="0" xfId="0" applyFont="true" applyBorder="false" applyAlignment="true" applyProtection="false">
      <alignment horizontal="center" vertical="bottom" textRotation="0" wrapText="false" indent="0" shrinkToFit="false"/>
      <protection locked="true" hidden="false"/>
    </xf>
    <xf numFmtId="166" fontId="25" fillId="3" borderId="0" xfId="0" applyFont="true" applyBorder="false" applyAlignment="true" applyProtection="false">
      <alignment horizontal="center" vertical="bottom" textRotation="0" wrapText="false" indent="0" shrinkToFit="false"/>
      <protection locked="true" hidden="false"/>
    </xf>
    <xf numFmtId="166" fontId="25" fillId="0" borderId="0" xfId="0" applyFont="true" applyBorder="false" applyAlignment="true" applyProtection="false">
      <alignment horizontal="center" vertical="bottom" textRotation="0" wrapText="false" indent="0" shrinkToFit="false"/>
      <protection locked="true" hidden="false"/>
    </xf>
    <xf numFmtId="168" fontId="17" fillId="0" borderId="0" xfId="0" applyFont="true" applyBorder="false" applyAlignment="true" applyProtection="false">
      <alignment horizontal="center" vertical="bottom" textRotation="0" wrapText="false" indent="0" shrinkToFit="false"/>
      <protection locked="true" hidden="false"/>
    </xf>
    <xf numFmtId="164" fontId="18" fillId="3" borderId="3" xfId="0" applyFont="true" applyBorder="true" applyAlignment="false" applyProtection="false">
      <alignment horizontal="general" vertical="bottom" textRotation="0" wrapText="false" indent="0" shrinkToFit="false"/>
      <protection locked="true" hidden="false"/>
    </xf>
    <xf numFmtId="165" fontId="17" fillId="3" borderId="3" xfId="0" applyFont="true" applyBorder="true" applyAlignment="true" applyProtection="false">
      <alignment horizontal="center" vertical="bottom" textRotation="0" wrapText="false" indent="0" shrinkToFit="false"/>
      <protection locked="true" hidden="false"/>
    </xf>
    <xf numFmtId="165" fontId="18" fillId="3" borderId="3" xfId="0" applyFont="true" applyBorder="true" applyAlignment="true" applyProtection="false">
      <alignment horizontal="center" vertical="bottom" textRotation="0" wrapText="false" indent="0" shrinkToFit="false"/>
      <protection locked="true" hidden="false"/>
    </xf>
    <xf numFmtId="169" fontId="18" fillId="4" borderId="0" xfId="0" applyFont="true" applyBorder="false" applyAlignment="true" applyProtection="false">
      <alignment horizontal="center" vertical="bottom" textRotation="0" wrapText="false" indent="0" shrinkToFit="false"/>
      <protection locked="true" hidden="false"/>
    </xf>
    <xf numFmtId="170" fontId="18" fillId="4" borderId="0" xfId="0" applyFont="true" applyBorder="false" applyAlignment="true" applyProtection="false">
      <alignment horizontal="center" vertical="bottom" textRotation="0" wrapText="false" indent="0" shrinkToFit="false"/>
      <protection locked="true" hidden="false"/>
    </xf>
    <xf numFmtId="164" fontId="18" fillId="0" borderId="3" xfId="0" applyFont="true" applyBorder="true" applyAlignment="false" applyProtection="false">
      <alignment horizontal="general" vertical="bottom" textRotation="0" wrapText="false" indent="0" shrinkToFit="false"/>
      <protection locked="true" hidden="false"/>
    </xf>
    <xf numFmtId="167" fontId="18" fillId="0" borderId="3" xfId="0" applyFont="true" applyBorder="true" applyAlignment="true" applyProtection="false">
      <alignment horizontal="center" vertical="bottom" textRotation="0" wrapText="false" indent="0" shrinkToFit="false"/>
      <protection locked="true" hidden="false"/>
    </xf>
    <xf numFmtId="164" fontId="21" fillId="0" borderId="3" xfId="0" applyFont="true" applyBorder="true" applyAlignment="true" applyProtection="false">
      <alignment horizontal="general" vertical="top" textRotation="0" wrapText="true" indent="0" shrinkToFit="false"/>
      <protection locked="true" hidden="false"/>
    </xf>
    <xf numFmtId="164" fontId="21" fillId="3" borderId="3" xfId="0" applyFont="true" applyBorder="true" applyAlignment="true" applyProtection="false">
      <alignment horizontal="general" vertical="top" textRotation="0" wrapText="true" indent="0" shrinkToFit="false"/>
      <protection locked="true" hidden="false"/>
    </xf>
    <xf numFmtId="165" fontId="18" fillId="0" borderId="3" xfId="0" applyFont="true" applyBorder="true" applyAlignment="true" applyProtection="false">
      <alignment horizontal="center" vertical="bottom" textRotation="0" wrapText="false" indent="0" shrinkToFit="false"/>
      <protection locked="true" hidden="false"/>
    </xf>
    <xf numFmtId="166" fontId="17" fillId="0" borderId="0" xfId="0" applyFont="true" applyBorder="false" applyAlignment="true" applyProtection="false">
      <alignment horizontal="center" vertical="bottom" textRotation="0" wrapText="false" indent="0" shrinkToFit="false"/>
      <protection locked="true" hidden="false"/>
    </xf>
    <xf numFmtId="170" fontId="17" fillId="0" borderId="0" xfId="0" applyFont="true" applyBorder="false" applyAlignment="true" applyProtection="false">
      <alignment horizontal="center" vertical="bottom" textRotation="0" wrapText="false" indent="0" shrinkToFit="false"/>
      <protection locked="true" hidden="false"/>
    </xf>
    <xf numFmtId="165" fontId="9" fillId="2" borderId="2" xfId="0" applyFont="true" applyBorder="true" applyAlignment="true" applyProtection="false">
      <alignment horizontal="center" vertical="bottom" textRotation="0" wrapText="false" indent="0" shrinkToFit="false"/>
      <protection locked="true" hidden="false"/>
    </xf>
    <xf numFmtId="166" fontId="18" fillId="3" borderId="0" xfId="0" applyFont="true" applyBorder="false" applyAlignment="true" applyProtection="false">
      <alignment horizontal="center" vertical="bottom" textRotation="0" wrapText="false" indent="0" shrinkToFit="false"/>
      <protection locked="true" hidden="false"/>
    </xf>
    <xf numFmtId="169" fontId="17" fillId="3" borderId="0" xfId="0" applyFont="true" applyBorder="false" applyAlignment="true" applyProtection="false">
      <alignment horizontal="center" vertical="bottom" textRotation="0" wrapText="false" indent="0" shrinkToFit="false"/>
      <protection locked="true" hidden="false"/>
    </xf>
    <xf numFmtId="169" fontId="17" fillId="6" borderId="0" xfId="0" applyFont="true" applyBorder="false" applyAlignment="true" applyProtection="false">
      <alignment horizontal="center" vertical="bottom" textRotation="0" wrapText="false" indent="0" shrinkToFit="false"/>
      <protection locked="true" hidden="false"/>
    </xf>
    <xf numFmtId="169" fontId="17" fillId="7" borderId="0" xfId="0" applyFont="true" applyBorder="false" applyAlignment="true" applyProtection="false">
      <alignment horizontal="center" vertical="bottom" textRotation="0" wrapText="false" indent="0" shrinkToFit="false"/>
      <protection locked="true" hidden="false"/>
    </xf>
    <xf numFmtId="169" fontId="18" fillId="3" borderId="4"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7" fontId="18" fillId="3" borderId="0" xfId="0" applyFont="true" applyBorder="false" applyAlignment="true" applyProtection="false">
      <alignment horizontal="center" vertical="bottom" textRotation="0" wrapText="false" indent="0" shrinkToFit="false"/>
      <protection locked="true" hidden="false"/>
    </xf>
    <xf numFmtId="165" fontId="17" fillId="6" borderId="0" xfId="0" applyFont="true" applyBorder="false" applyAlignment="true" applyProtection="false">
      <alignment horizontal="center" vertical="bottom" textRotation="0" wrapText="false" indent="0" shrinkToFit="false"/>
      <protection locked="true" hidden="false"/>
    </xf>
    <xf numFmtId="165" fontId="18" fillId="3" borderId="4" xfId="0" applyFont="true" applyBorder="true" applyAlignment="true" applyProtection="false">
      <alignment horizontal="center" vertical="bottom" textRotation="0" wrapText="false" indent="0" shrinkToFit="false"/>
      <protection locked="true" hidden="false"/>
    </xf>
    <xf numFmtId="165" fontId="17" fillId="7"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5587"/>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2DCDB"/>
      <rgbColor rgb="FF3366FF"/>
      <rgbColor rgb="FF33CCCC"/>
      <rgbColor rgb="FF99CC00"/>
      <rgbColor rgb="FFFFCC00"/>
      <rgbColor rgb="FFFF9900"/>
      <rgbColor rgb="FFFF6600"/>
      <rgbColor rgb="FF666699"/>
      <rgbColor rgb="FF9AA0A8"/>
      <rgbColor rgb="FF0F2F51"/>
      <rgbColor rgb="FF339966"/>
      <rgbColor rgb="FF08080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3"/>
    <col collapsed="false" customWidth="true" hidden="false" outlineLevel="0" max="10" min="3" style="0" width="14"/>
  </cols>
  <sheetData>
    <row r="1" customFormat="false" ht="15" hidden="false" customHeight="false" outlineLevel="0" collapsed="false">
      <c r="A1" s="1"/>
      <c r="B1" s="1"/>
      <c r="C1" s="1"/>
      <c r="D1" s="1"/>
      <c r="E1" s="1"/>
      <c r="F1" s="1"/>
      <c r="G1" s="1"/>
      <c r="H1" s="1"/>
      <c r="I1" s="1"/>
      <c r="J1" s="1"/>
      <c r="K1" s="1"/>
      <c r="L1" s="1"/>
      <c r="M1" s="1"/>
    </row>
    <row r="2" customFormat="false" ht="15" hidden="false" customHeight="false" outlineLevel="0" collapsed="false">
      <c r="A2" s="1"/>
      <c r="B2" s="1"/>
      <c r="C2" s="1"/>
      <c r="D2" s="1"/>
      <c r="E2" s="1"/>
      <c r="F2" s="1"/>
      <c r="G2" s="1"/>
      <c r="H2" s="1"/>
      <c r="I2" s="1"/>
      <c r="J2" s="1"/>
      <c r="K2" s="1"/>
      <c r="L2" s="1"/>
      <c r="M2" s="1"/>
    </row>
    <row r="3" customFormat="false" ht="15" hidden="false" customHeight="false" outlineLevel="0" collapsed="false">
      <c r="A3" s="1"/>
      <c r="B3" s="1"/>
      <c r="C3" s="1"/>
      <c r="D3" s="1"/>
      <c r="E3" s="1"/>
      <c r="F3" s="1"/>
      <c r="G3" s="1"/>
      <c r="H3" s="1"/>
      <c r="I3" s="1"/>
      <c r="J3" s="1"/>
      <c r="K3" s="1"/>
      <c r="L3" s="1"/>
      <c r="M3" s="1"/>
    </row>
    <row r="4" customFormat="false" ht="15" hidden="false" customHeight="false" outlineLevel="0" collapsed="false">
      <c r="A4" s="1"/>
      <c r="B4" s="1"/>
      <c r="C4" s="1"/>
      <c r="D4" s="1"/>
      <c r="E4" s="1"/>
      <c r="F4" s="1"/>
      <c r="G4" s="1"/>
      <c r="H4" s="1"/>
      <c r="I4" s="1"/>
      <c r="J4" s="1"/>
      <c r="K4" s="1"/>
      <c r="L4" s="1"/>
      <c r="M4" s="1"/>
    </row>
    <row r="5" customFormat="false" ht="15" hidden="false" customHeight="false" outlineLevel="0" collapsed="false">
      <c r="A5" s="1"/>
      <c r="B5" s="1"/>
      <c r="C5" s="1"/>
      <c r="D5" s="1"/>
      <c r="E5" s="1"/>
      <c r="F5" s="1"/>
      <c r="G5" s="1"/>
      <c r="H5" s="1"/>
      <c r="I5" s="1"/>
      <c r="J5" s="1"/>
      <c r="K5" s="1"/>
      <c r="L5" s="1"/>
      <c r="M5" s="1"/>
    </row>
    <row r="6" customFormat="false" ht="15" hidden="false" customHeight="false" outlineLevel="0" collapsed="false">
      <c r="A6" s="1"/>
      <c r="B6" s="1"/>
      <c r="C6" s="1"/>
      <c r="D6" s="1"/>
      <c r="E6" s="1"/>
      <c r="F6" s="1"/>
      <c r="G6" s="1"/>
      <c r="H6" s="1"/>
      <c r="I6" s="1"/>
      <c r="J6" s="1"/>
      <c r="K6" s="1"/>
      <c r="L6" s="1"/>
      <c r="M6" s="1"/>
    </row>
    <row r="7" customFormat="false" ht="15" hidden="false" customHeight="false" outlineLevel="0" collapsed="false">
      <c r="A7" s="1"/>
      <c r="B7" s="1"/>
      <c r="C7" s="1"/>
      <c r="D7" s="1"/>
      <c r="E7" s="1"/>
      <c r="F7" s="1"/>
      <c r="G7" s="1"/>
      <c r="H7" s="1"/>
      <c r="I7" s="1"/>
      <c r="J7" s="1"/>
      <c r="K7" s="1"/>
      <c r="L7" s="1"/>
      <c r="M7" s="1"/>
    </row>
    <row r="8" customFormat="false" ht="15" hidden="false" customHeight="false" outlineLevel="0" collapsed="false">
      <c r="A8" s="1"/>
      <c r="B8" s="1"/>
      <c r="C8" s="1"/>
      <c r="D8" s="1"/>
      <c r="E8" s="1"/>
      <c r="F8" s="1"/>
      <c r="G8" s="1"/>
      <c r="H8" s="1"/>
      <c r="I8" s="1"/>
      <c r="J8" s="1"/>
      <c r="K8" s="1"/>
      <c r="L8" s="1"/>
      <c r="M8" s="1"/>
    </row>
    <row r="9" customFormat="false" ht="15" hidden="false" customHeight="false" outlineLevel="0" collapsed="false">
      <c r="A9" s="1"/>
      <c r="B9" s="1"/>
      <c r="C9" s="1"/>
      <c r="D9" s="1"/>
      <c r="E9" s="1"/>
      <c r="F9" s="1"/>
      <c r="G9" s="1"/>
      <c r="H9" s="1"/>
      <c r="I9" s="1"/>
      <c r="J9" s="1"/>
      <c r="K9" s="1"/>
      <c r="L9" s="1"/>
      <c r="M9" s="1"/>
    </row>
    <row r="10" customFormat="false" ht="15" hidden="false" customHeight="false" outlineLevel="0" collapsed="false">
      <c r="A10" s="1"/>
      <c r="B10" s="1"/>
      <c r="C10" s="1"/>
      <c r="D10" s="1"/>
      <c r="E10" s="1"/>
      <c r="F10" s="1"/>
      <c r="G10" s="1"/>
      <c r="H10" s="1"/>
      <c r="I10" s="1"/>
      <c r="J10" s="1"/>
      <c r="K10" s="1"/>
      <c r="L10" s="1"/>
      <c r="M10" s="1"/>
    </row>
    <row r="11" customFormat="false" ht="15" hidden="false" customHeight="false" outlineLevel="0" collapsed="false">
      <c r="A11" s="1"/>
      <c r="B11" s="1"/>
      <c r="C11" s="1"/>
      <c r="D11" s="1"/>
      <c r="E11" s="1"/>
      <c r="F11" s="1"/>
      <c r="G11" s="1"/>
      <c r="H11" s="1"/>
      <c r="I11" s="1"/>
      <c r="J11" s="1"/>
      <c r="K11" s="1"/>
      <c r="L11" s="1"/>
      <c r="M11" s="1"/>
    </row>
    <row r="12" customFormat="false" ht="15" hidden="false" customHeight="false" outlineLevel="0" collapsed="false">
      <c r="A12" s="1"/>
      <c r="B12" s="1"/>
      <c r="C12" s="1"/>
      <c r="D12" s="1"/>
      <c r="E12" s="1"/>
      <c r="F12" s="1"/>
      <c r="G12" s="1"/>
      <c r="H12" s="1"/>
      <c r="I12" s="1"/>
      <c r="J12" s="1"/>
      <c r="K12" s="1"/>
      <c r="L12" s="1"/>
      <c r="M12" s="1"/>
    </row>
    <row r="13" customFormat="false" ht="15" hidden="false" customHeight="false" outlineLevel="0" collapsed="false">
      <c r="A13" s="1"/>
      <c r="B13" s="1"/>
      <c r="C13" s="1"/>
      <c r="D13" s="1"/>
      <c r="E13" s="1"/>
      <c r="F13" s="1"/>
      <c r="G13" s="1"/>
      <c r="H13" s="1"/>
      <c r="I13" s="1"/>
      <c r="J13" s="1"/>
      <c r="K13" s="1"/>
      <c r="L13" s="1"/>
      <c r="M13" s="1"/>
    </row>
    <row r="14" customFormat="false" ht="15" hidden="false" customHeight="false" outlineLevel="0" collapsed="false">
      <c r="A14" s="1"/>
      <c r="B14" s="1"/>
      <c r="C14" s="1"/>
      <c r="D14" s="1"/>
      <c r="E14" s="1"/>
      <c r="F14" s="1"/>
      <c r="G14" s="1"/>
      <c r="H14" s="1"/>
      <c r="I14" s="1"/>
      <c r="J14" s="1"/>
      <c r="K14" s="1"/>
      <c r="L14" s="1"/>
      <c r="M14" s="1"/>
    </row>
    <row r="15" customFormat="false" ht="15" hidden="false" customHeight="false" outlineLevel="0" collapsed="false">
      <c r="A15" s="1"/>
      <c r="B15" s="1"/>
      <c r="C15" s="1"/>
      <c r="D15" s="1"/>
      <c r="E15" s="1"/>
      <c r="F15" s="1"/>
      <c r="G15" s="1"/>
      <c r="H15" s="1"/>
      <c r="I15" s="1"/>
      <c r="J15" s="1"/>
      <c r="K15" s="1"/>
      <c r="L15" s="1"/>
      <c r="M15" s="1"/>
    </row>
    <row r="16" customFormat="false" ht="15" hidden="false" customHeight="false" outlineLevel="0" collapsed="false">
      <c r="A16" s="1"/>
      <c r="B16" s="1"/>
      <c r="C16" s="1"/>
      <c r="D16" s="1"/>
      <c r="E16" s="1"/>
      <c r="F16" s="1"/>
      <c r="G16" s="1"/>
      <c r="H16" s="1"/>
      <c r="I16" s="1"/>
      <c r="J16" s="1"/>
      <c r="K16" s="1"/>
      <c r="L16" s="1"/>
      <c r="M16" s="1"/>
    </row>
    <row r="17" customFormat="false" ht="15" hidden="false" customHeight="false" outlineLevel="0" collapsed="false">
      <c r="A17" s="1"/>
      <c r="B17" s="1"/>
      <c r="C17" s="1"/>
      <c r="D17" s="1"/>
      <c r="E17" s="1"/>
      <c r="F17" s="1"/>
      <c r="G17" s="1"/>
      <c r="H17" s="1"/>
      <c r="I17" s="1"/>
      <c r="J17" s="1"/>
      <c r="K17" s="1"/>
      <c r="L17" s="1"/>
      <c r="M17" s="1"/>
    </row>
    <row r="18" customFormat="false" ht="15" hidden="false" customHeight="false" outlineLevel="0" collapsed="false">
      <c r="A18" s="1"/>
      <c r="B18" s="1"/>
      <c r="C18" s="1"/>
      <c r="D18" s="1"/>
      <c r="E18" s="1"/>
      <c r="F18" s="1"/>
      <c r="G18" s="1"/>
      <c r="H18" s="1"/>
      <c r="I18" s="1"/>
      <c r="J18" s="1"/>
      <c r="K18" s="1"/>
      <c r="L18" s="1"/>
      <c r="M18" s="1"/>
    </row>
    <row r="19" customFormat="false" ht="15" hidden="false" customHeight="false" outlineLevel="0" collapsed="false">
      <c r="A19" s="1"/>
      <c r="B19" s="1"/>
      <c r="C19" s="1"/>
      <c r="D19" s="1"/>
      <c r="E19" s="1"/>
      <c r="F19" s="1"/>
      <c r="G19" s="1"/>
      <c r="H19" s="1"/>
      <c r="I19" s="1"/>
      <c r="J19" s="1"/>
      <c r="K19" s="1"/>
      <c r="L19" s="1"/>
      <c r="M19" s="1"/>
    </row>
    <row r="20" customFormat="false" ht="33.85" hidden="false" customHeight="false" outlineLevel="0" collapsed="false">
      <c r="A20" s="1"/>
      <c r="B20" s="1"/>
      <c r="C20" s="2" t="s">
        <v>0</v>
      </c>
      <c r="D20" s="1"/>
      <c r="E20" s="1"/>
      <c r="F20" s="1"/>
      <c r="G20" s="1"/>
      <c r="H20" s="1"/>
      <c r="I20" s="1"/>
      <c r="J20" s="1"/>
      <c r="K20" s="1"/>
      <c r="L20" s="1"/>
      <c r="M20" s="1"/>
    </row>
    <row r="21" customFormat="false" ht="15" hidden="false" customHeight="false" outlineLevel="0" collapsed="false">
      <c r="A21" s="1"/>
      <c r="B21" s="1"/>
      <c r="C21" s="1"/>
      <c r="D21" s="1"/>
      <c r="E21" s="1"/>
      <c r="F21" s="1"/>
      <c r="G21" s="1"/>
      <c r="H21" s="1"/>
      <c r="I21" s="1"/>
      <c r="J21" s="1"/>
      <c r="K21" s="1"/>
      <c r="L21" s="1"/>
      <c r="M21" s="1"/>
    </row>
    <row r="22" customFormat="false" ht="16.15" hidden="false" customHeight="false" outlineLevel="0" collapsed="false">
      <c r="A22" s="1"/>
      <c r="B22" s="1"/>
      <c r="C22" s="3" t="s">
        <v>1</v>
      </c>
      <c r="D22" s="1"/>
      <c r="E22" s="1"/>
      <c r="F22" s="1"/>
      <c r="G22" s="1"/>
      <c r="H22" s="1"/>
      <c r="I22" s="1"/>
      <c r="J22" s="1"/>
      <c r="K22" s="1"/>
      <c r="L22" s="1"/>
      <c r="M22" s="1"/>
    </row>
    <row r="23" customFormat="false" ht="15" hidden="false" customHeight="false" outlineLevel="0" collapsed="false">
      <c r="A23" s="1"/>
      <c r="B23" s="1"/>
      <c r="C23" s="1"/>
      <c r="D23" s="1"/>
      <c r="E23" s="1"/>
      <c r="F23" s="1"/>
      <c r="G23" s="1"/>
      <c r="H23" s="1"/>
      <c r="I23" s="1"/>
      <c r="J23" s="1"/>
      <c r="K23" s="1"/>
      <c r="L23" s="1"/>
      <c r="M23" s="1"/>
    </row>
    <row r="24" customFormat="false" ht="16.15" hidden="false" customHeight="false" outlineLevel="0" collapsed="false">
      <c r="A24" s="1"/>
      <c r="B24" s="1"/>
      <c r="C24" s="4" t="s">
        <v>2</v>
      </c>
      <c r="D24" s="1"/>
      <c r="E24" s="1"/>
      <c r="F24" s="1"/>
      <c r="G24" s="1"/>
      <c r="H24" s="1"/>
      <c r="I24" s="1"/>
      <c r="J24" s="1"/>
      <c r="K24" s="1"/>
      <c r="L24" s="1"/>
      <c r="M24" s="1"/>
    </row>
    <row r="25" customFormat="false" ht="15" hidden="false" customHeight="false" outlineLevel="0" collapsed="false">
      <c r="A25" s="1"/>
      <c r="B25" s="1"/>
      <c r="C25" s="1"/>
      <c r="D25" s="1"/>
      <c r="E25" s="1"/>
      <c r="F25" s="1"/>
      <c r="G25" s="1"/>
      <c r="H25" s="1"/>
      <c r="I25" s="1"/>
      <c r="J25" s="1"/>
      <c r="K25" s="1"/>
      <c r="L25" s="1"/>
      <c r="M25" s="1"/>
    </row>
    <row r="26" customFormat="false" ht="15" hidden="false" customHeight="false" outlineLevel="0" collapsed="false">
      <c r="A26" s="1"/>
      <c r="B26" s="1"/>
      <c r="C26" s="1"/>
      <c r="D26" s="1"/>
      <c r="E26" s="1"/>
      <c r="F26" s="1"/>
      <c r="G26" s="1"/>
      <c r="H26" s="1"/>
      <c r="I26" s="1"/>
      <c r="J26" s="1"/>
      <c r="K26" s="1"/>
      <c r="L26" s="1"/>
      <c r="M26" s="1"/>
    </row>
    <row r="27" customFormat="false" ht="15" hidden="false" customHeight="false" outlineLevel="0" collapsed="false">
      <c r="A27" s="1"/>
      <c r="B27" s="1"/>
      <c r="C27" s="5" t="s">
        <v>3</v>
      </c>
      <c r="D27" s="1"/>
      <c r="E27" s="1"/>
      <c r="F27" s="1"/>
      <c r="G27" s="1"/>
      <c r="H27" s="1"/>
      <c r="I27" s="1"/>
      <c r="J27" s="1"/>
      <c r="K27" s="1"/>
      <c r="L27" s="1"/>
      <c r="M27" s="1"/>
    </row>
    <row r="28" customFormat="false" ht="15" hidden="false" customHeight="false" outlineLevel="0" collapsed="false">
      <c r="A28" s="1"/>
      <c r="B28" s="1"/>
      <c r="C28" s="6" t="s">
        <v>4</v>
      </c>
      <c r="D28" s="1"/>
      <c r="E28" s="1"/>
      <c r="F28" s="1"/>
      <c r="G28" s="1"/>
      <c r="H28" s="1"/>
      <c r="I28" s="1"/>
      <c r="J28" s="1"/>
      <c r="K28" s="1"/>
      <c r="L28" s="1"/>
      <c r="M28" s="1"/>
    </row>
    <row r="29" customFormat="false" ht="15" hidden="false" customHeight="false" outlineLevel="0" collapsed="false">
      <c r="A29" s="1"/>
      <c r="B29" s="1"/>
      <c r="C29" s="1"/>
      <c r="D29" s="1"/>
      <c r="E29" s="1"/>
      <c r="F29" s="1"/>
      <c r="G29" s="1"/>
      <c r="H29" s="1"/>
      <c r="I29" s="1"/>
      <c r="J29" s="1"/>
      <c r="K29" s="1"/>
      <c r="L29" s="1"/>
      <c r="M29" s="1"/>
    </row>
    <row r="30" customFormat="false" ht="15" hidden="false" customHeight="false" outlineLevel="0" collapsed="false">
      <c r="A30" s="1"/>
      <c r="B30" s="1"/>
      <c r="C30" s="1"/>
      <c r="D30" s="1"/>
      <c r="E30" s="1"/>
      <c r="F30" s="1"/>
      <c r="G30" s="1"/>
      <c r="H30" s="1"/>
      <c r="I30" s="1"/>
      <c r="J30" s="1"/>
      <c r="K30" s="1"/>
      <c r="L30" s="1"/>
      <c r="M30" s="1"/>
    </row>
    <row r="31" customFormat="false" ht="15" hidden="false" customHeight="false" outlineLevel="0" collapsed="false">
      <c r="A31" s="1"/>
      <c r="B31" s="1"/>
      <c r="C31" s="7" t="s">
        <v>5</v>
      </c>
      <c r="D31" s="1"/>
      <c r="E31" s="1"/>
      <c r="F31" s="1"/>
      <c r="G31" s="1"/>
      <c r="H31" s="1"/>
      <c r="I31" s="1"/>
      <c r="J31" s="1"/>
      <c r="K31" s="1"/>
      <c r="L31" s="1"/>
      <c r="M31" s="1"/>
    </row>
    <row r="32" customFormat="false" ht="15" hidden="false" customHeight="false" outlineLevel="0" collapsed="false">
      <c r="A32" s="1"/>
      <c r="B32" s="1"/>
      <c r="C32" s="1"/>
      <c r="D32" s="1"/>
      <c r="E32" s="1"/>
      <c r="F32" s="1"/>
      <c r="G32" s="1"/>
      <c r="H32" s="1"/>
      <c r="I32" s="1"/>
      <c r="J32" s="1"/>
      <c r="K32" s="1"/>
      <c r="L32" s="1"/>
      <c r="M32" s="1"/>
    </row>
    <row r="33" customFormat="false" ht="15" hidden="false" customHeight="false" outlineLevel="0" collapsed="false">
      <c r="A33" s="1"/>
      <c r="B33" s="1"/>
      <c r="C33" s="8" t="s">
        <v>6</v>
      </c>
      <c r="D33" s="1"/>
      <c r="E33" s="9" t="s">
        <v>7</v>
      </c>
      <c r="F33" s="1"/>
      <c r="G33" s="1"/>
      <c r="H33" s="1"/>
      <c r="I33" s="1"/>
      <c r="J33" s="1"/>
      <c r="K33" s="1"/>
      <c r="L33" s="1"/>
      <c r="M33" s="1"/>
    </row>
    <row r="34" customFormat="false" ht="15" hidden="false" customHeight="false" outlineLevel="0" collapsed="false">
      <c r="A34" s="1"/>
      <c r="B34" s="1"/>
      <c r="C34" s="8" t="s">
        <v>8</v>
      </c>
      <c r="D34" s="1"/>
      <c r="E34" s="9" t="s">
        <v>9</v>
      </c>
      <c r="F34" s="1"/>
      <c r="G34" s="1"/>
      <c r="H34" s="1"/>
      <c r="I34" s="1"/>
      <c r="J34" s="1"/>
      <c r="K34" s="1"/>
      <c r="L34" s="1"/>
      <c r="M34" s="1"/>
    </row>
    <row r="35" customFormat="false" ht="15" hidden="false" customHeight="false" outlineLevel="0" collapsed="false">
      <c r="A35" s="1"/>
      <c r="B35" s="1"/>
      <c r="C35" s="8" t="s">
        <v>10</v>
      </c>
      <c r="D35" s="1"/>
      <c r="E35" s="9" t="s">
        <v>11</v>
      </c>
      <c r="F35" s="1"/>
      <c r="G35" s="1"/>
      <c r="H35" s="1"/>
      <c r="I35" s="1"/>
      <c r="J35" s="1"/>
      <c r="K35" s="1"/>
      <c r="L35" s="1"/>
      <c r="M35" s="1"/>
    </row>
    <row r="36" customFormat="false" ht="15" hidden="false" customHeight="false" outlineLevel="0" collapsed="false">
      <c r="A36" s="1"/>
      <c r="B36" s="1"/>
      <c r="C36" s="8" t="s">
        <v>12</v>
      </c>
      <c r="D36" s="1"/>
      <c r="E36" s="9" t="s">
        <v>13</v>
      </c>
      <c r="F36" s="1"/>
      <c r="G36" s="1"/>
      <c r="H36" s="1"/>
      <c r="I36" s="1"/>
      <c r="J36" s="1"/>
      <c r="K36" s="1"/>
      <c r="L36" s="1"/>
      <c r="M36" s="1"/>
    </row>
    <row r="37" customFormat="false" ht="15" hidden="false" customHeight="false" outlineLevel="0" collapsed="false">
      <c r="A37" s="1"/>
      <c r="B37" s="1"/>
      <c r="C37" s="8" t="s">
        <v>14</v>
      </c>
      <c r="D37" s="1"/>
      <c r="E37" s="9" t="s">
        <v>15</v>
      </c>
      <c r="F37" s="1"/>
      <c r="G37" s="1"/>
      <c r="H37" s="1"/>
      <c r="I37" s="1"/>
      <c r="J37" s="1"/>
      <c r="K37" s="1"/>
      <c r="L37" s="1"/>
      <c r="M37" s="1"/>
    </row>
    <row r="38" customFormat="false" ht="15" hidden="false" customHeight="false" outlineLevel="0" collapsed="false">
      <c r="A38" s="1"/>
      <c r="B38" s="1"/>
      <c r="C38" s="8" t="s">
        <v>16</v>
      </c>
      <c r="D38" s="1"/>
      <c r="E38" s="9" t="s">
        <v>17</v>
      </c>
      <c r="F38" s="1"/>
      <c r="G38" s="1"/>
      <c r="H38" s="1"/>
      <c r="I38" s="1"/>
      <c r="J38" s="1"/>
      <c r="K38" s="1"/>
      <c r="L38" s="1"/>
      <c r="M38" s="1"/>
    </row>
    <row r="39" customFormat="false" ht="15" hidden="false" customHeight="false" outlineLevel="0" collapsed="false">
      <c r="A39" s="1"/>
      <c r="B39" s="1"/>
      <c r="C39" s="1"/>
      <c r="D39" s="1"/>
      <c r="E39" s="1"/>
      <c r="F39" s="1"/>
      <c r="G39" s="1"/>
      <c r="H39" s="1"/>
      <c r="I39" s="1"/>
      <c r="J39" s="1"/>
      <c r="K39" s="1"/>
      <c r="L39" s="1"/>
      <c r="M39"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6" min="3" style="0" width="13"/>
    <col collapsed="false" customWidth="true" hidden="false" outlineLevel="0" max="7" min="7" style="0" width="10"/>
    <col collapsed="false" customWidth="true" hidden="false" outlineLevel="0" max="8" min="8" style="0" width="62"/>
  </cols>
  <sheetData>
    <row r="2" customFormat="false" ht="17.35" hidden="false" customHeight="false" outlineLevel="0" collapsed="false">
      <c r="B2" s="10" t="s">
        <v>18</v>
      </c>
    </row>
    <row r="3" customFormat="false" ht="15" hidden="false" customHeight="false" outlineLevel="0" collapsed="false">
      <c r="B3" s="11"/>
      <c r="C3" s="11"/>
      <c r="D3" s="11"/>
      <c r="E3" s="11"/>
      <c r="F3" s="11"/>
      <c r="G3" s="11"/>
      <c r="H3" s="11"/>
    </row>
    <row r="4" customFormat="false" ht="15" hidden="false" customHeight="false" outlineLevel="0" collapsed="false">
      <c r="B4" s="12" t="s">
        <v>19</v>
      </c>
    </row>
    <row r="6" customFormat="false" ht="15" hidden="false" customHeight="false" outlineLevel="0" collapsed="false">
      <c r="B6" s="13" t="s">
        <v>20</v>
      </c>
      <c r="C6" s="14" t="s">
        <v>21</v>
      </c>
    </row>
    <row r="8" customFormat="false" ht="27.75" hidden="false" customHeight="true" outlineLevel="0" collapsed="false">
      <c r="B8" s="15" t="s">
        <v>22</v>
      </c>
      <c r="C8" s="15" t="s">
        <v>23</v>
      </c>
      <c r="D8" s="15" t="s">
        <v>24</v>
      </c>
      <c r="E8" s="15" t="s">
        <v>21</v>
      </c>
      <c r="F8" s="15" t="s">
        <v>25</v>
      </c>
      <c r="G8" s="15" t="s">
        <v>26</v>
      </c>
      <c r="H8" s="15" t="s">
        <v>27</v>
      </c>
    </row>
    <row r="9" customFormat="false" ht="15" hidden="false" customHeight="false" outlineLevel="0" collapsed="false">
      <c r="B9" s="16" t="s">
        <v>28</v>
      </c>
      <c r="C9" s="17"/>
      <c r="D9" s="17"/>
      <c r="E9" s="17"/>
      <c r="F9" s="17"/>
      <c r="G9" s="17"/>
      <c r="H9" s="17"/>
    </row>
    <row r="10" customFormat="false" ht="25.5" hidden="false" customHeight="true" outlineLevel="0" collapsed="false">
      <c r="B10" s="18" t="s">
        <v>29</v>
      </c>
      <c r="C10" s="19" t="n">
        <f aca="false">INDEX($D10:$F10,MATCH($C$6,$D$8:$F$8,0))</f>
        <v>32000</v>
      </c>
      <c r="D10" s="20" t="n">
        <v>26000</v>
      </c>
      <c r="E10" s="20" t="n">
        <v>32000</v>
      </c>
      <c r="F10" s="20" t="n">
        <v>38000</v>
      </c>
      <c r="G10" s="21" t="s">
        <v>30</v>
      </c>
      <c r="H10" s="22" t="s">
        <v>31</v>
      </c>
    </row>
    <row r="11" customFormat="false" ht="25.5" hidden="false" customHeight="true" outlineLevel="0" collapsed="false">
      <c r="B11" s="23" t="s">
        <v>32</v>
      </c>
      <c r="C11" s="24" t="n">
        <f aca="false">INDEX($D11:$F11,MATCH($C$6,$D$8:$F$8,0))</f>
        <v>0.04</v>
      </c>
      <c r="D11" s="25" t="n">
        <v>0.02</v>
      </c>
      <c r="E11" s="25" t="n">
        <v>0.04</v>
      </c>
      <c r="F11" s="25" t="n">
        <v>0.06</v>
      </c>
      <c r="G11" s="26" t="s">
        <v>33</v>
      </c>
      <c r="H11" s="27" t="s">
        <v>34</v>
      </c>
    </row>
    <row r="12" customFormat="false" ht="25.5" hidden="false" customHeight="true" outlineLevel="0" collapsed="false">
      <c r="B12" s="18" t="s">
        <v>35</v>
      </c>
      <c r="C12" s="28" t="n">
        <f aca="false">INDEX($D12:$F12,MATCH($C$6,$D$8:$F$8,0))</f>
        <v>8</v>
      </c>
      <c r="D12" s="29" t="n">
        <v>5</v>
      </c>
      <c r="E12" s="29" t="n">
        <v>8</v>
      </c>
      <c r="F12" s="29" t="n">
        <v>12</v>
      </c>
      <c r="G12" s="21" t="s">
        <v>36</v>
      </c>
      <c r="H12" s="22" t="s">
        <v>37</v>
      </c>
    </row>
    <row r="13" customFormat="false" ht="25.5" hidden="false" customHeight="true" outlineLevel="0" collapsed="false">
      <c r="B13" s="23" t="s">
        <v>38</v>
      </c>
      <c r="C13" s="28" t="n">
        <f aca="false">INDEX($D13:$F13,MATCH($C$6,$D$8:$F$8,0))</f>
        <v>28</v>
      </c>
      <c r="D13" s="30" t="n">
        <v>18</v>
      </c>
      <c r="E13" s="30" t="n">
        <v>28</v>
      </c>
      <c r="F13" s="30" t="n">
        <v>38</v>
      </c>
      <c r="G13" s="26" t="s">
        <v>36</v>
      </c>
      <c r="H13" s="27" t="s">
        <v>39</v>
      </c>
    </row>
    <row r="14" customFormat="false" ht="25.5" hidden="false" customHeight="true" outlineLevel="0" collapsed="false">
      <c r="B14" s="18" t="s">
        <v>40</v>
      </c>
      <c r="C14" s="28" t="n">
        <f aca="false">INDEX($D14:$F14,MATCH($C$6,$D$8:$F$8,0))</f>
        <v>48</v>
      </c>
      <c r="D14" s="29" t="n">
        <v>32</v>
      </c>
      <c r="E14" s="29" t="n">
        <v>48</v>
      </c>
      <c r="F14" s="29" t="n">
        <v>68</v>
      </c>
      <c r="G14" s="21" t="s">
        <v>36</v>
      </c>
      <c r="H14" s="22" t="s">
        <v>41</v>
      </c>
    </row>
    <row r="15" customFormat="false" ht="25.5" hidden="false" customHeight="true" outlineLevel="0" collapsed="false">
      <c r="B15" s="23" t="s">
        <v>42</v>
      </c>
      <c r="C15" s="28" t="n">
        <f aca="false">INDEX($D15:$F15,MATCH($C$6,$D$8:$F$8,0))</f>
        <v>70</v>
      </c>
      <c r="D15" s="30" t="n">
        <v>45</v>
      </c>
      <c r="E15" s="30" t="n">
        <v>70</v>
      </c>
      <c r="F15" s="30" t="n">
        <v>100</v>
      </c>
      <c r="G15" s="26" t="s">
        <v>36</v>
      </c>
      <c r="H15" s="27" t="s">
        <v>43</v>
      </c>
    </row>
    <row r="16" customFormat="false" ht="25.5" hidden="false" customHeight="true" outlineLevel="0" collapsed="false">
      <c r="B16" s="18" t="s">
        <v>44</v>
      </c>
      <c r="C16" s="28" t="n">
        <f aca="false">INDEX($D16:$F16,MATCH($C$6,$D$8:$F$8,0))</f>
        <v>95</v>
      </c>
      <c r="D16" s="29" t="n">
        <v>55</v>
      </c>
      <c r="E16" s="29" t="n">
        <v>95</v>
      </c>
      <c r="F16" s="29" t="n">
        <v>140</v>
      </c>
      <c r="G16" s="21" t="s">
        <v>36</v>
      </c>
      <c r="H16" s="22" t="s">
        <v>45</v>
      </c>
    </row>
    <row r="17" customFormat="false" ht="15" hidden="false" customHeight="false" outlineLevel="0" collapsed="false">
      <c r="B17" s="16" t="s">
        <v>46</v>
      </c>
      <c r="C17" s="17"/>
      <c r="D17" s="17"/>
      <c r="E17" s="17"/>
      <c r="F17" s="17"/>
      <c r="G17" s="17"/>
      <c r="H17" s="17"/>
    </row>
    <row r="18" customFormat="false" ht="25.5" hidden="false" customHeight="true" outlineLevel="0" collapsed="false">
      <c r="B18" s="18" t="s">
        <v>47</v>
      </c>
      <c r="C18" s="24" t="n">
        <f aca="false">INDEX($D18:$F18,MATCH($C$6,$D$8:$F$8,0))</f>
        <v>0.88</v>
      </c>
      <c r="D18" s="31" t="n">
        <v>0.82</v>
      </c>
      <c r="E18" s="31" t="n">
        <v>0.88</v>
      </c>
      <c r="F18" s="31" t="n">
        <v>0.92</v>
      </c>
      <c r="G18" s="21" t="s">
        <v>33</v>
      </c>
      <c r="H18" s="22" t="s">
        <v>48</v>
      </c>
    </row>
    <row r="19" customFormat="false" ht="25.5" hidden="false" customHeight="true" outlineLevel="0" collapsed="false">
      <c r="B19" s="23" t="s">
        <v>49</v>
      </c>
      <c r="C19" s="24" t="n">
        <f aca="false">INDEX($D19:$F19,MATCH($C$6,$D$8:$F$8,0))</f>
        <v>1.12</v>
      </c>
      <c r="D19" s="25" t="n">
        <v>1</v>
      </c>
      <c r="E19" s="25" t="n">
        <v>1.12</v>
      </c>
      <c r="F19" s="25" t="n">
        <v>1.22</v>
      </c>
      <c r="G19" s="26" t="s">
        <v>33</v>
      </c>
      <c r="H19" s="27" t="s">
        <v>50</v>
      </c>
    </row>
    <row r="20" customFormat="false" ht="25.5" hidden="false" customHeight="true" outlineLevel="0" collapsed="false">
      <c r="B20" s="18" t="s">
        <v>51</v>
      </c>
      <c r="C20" s="24" t="n">
        <f aca="false">INDEX($D20:$F20,MATCH($C$6,$D$8:$F$8,0))</f>
        <v>0.78</v>
      </c>
      <c r="D20" s="31" t="n">
        <v>0.7</v>
      </c>
      <c r="E20" s="31" t="n">
        <v>0.78</v>
      </c>
      <c r="F20" s="31" t="n">
        <v>0.84</v>
      </c>
      <c r="G20" s="21" t="s">
        <v>52</v>
      </c>
      <c r="H20" s="22" t="s">
        <v>53</v>
      </c>
    </row>
    <row r="21" customFormat="false" ht="15" hidden="false" customHeight="false" outlineLevel="0" collapsed="false">
      <c r="B21" s="16" t="s">
        <v>54</v>
      </c>
      <c r="C21" s="17"/>
      <c r="D21" s="17"/>
      <c r="E21" s="17"/>
      <c r="F21" s="17"/>
      <c r="G21" s="17"/>
      <c r="H21" s="17"/>
    </row>
    <row r="22" customFormat="false" ht="25.5" hidden="false" customHeight="true" outlineLevel="0" collapsed="false">
      <c r="B22" s="18" t="s">
        <v>55</v>
      </c>
      <c r="C22" s="19" t="n">
        <f aca="false">INDEX($D22:$F22,MATCH($C$6,$D$8:$F$8,0))</f>
        <v>28000</v>
      </c>
      <c r="D22" s="20" t="n">
        <v>40000</v>
      </c>
      <c r="E22" s="20" t="n">
        <v>28000</v>
      </c>
      <c r="F22" s="20" t="n">
        <v>20000</v>
      </c>
      <c r="G22" s="21" t="s">
        <v>56</v>
      </c>
      <c r="H22" s="22" t="s">
        <v>57</v>
      </c>
    </row>
    <row r="23" customFormat="false" ht="25.5" hidden="false" customHeight="true" outlineLevel="0" collapsed="false">
      <c r="B23" s="23" t="s">
        <v>58</v>
      </c>
      <c r="C23" s="24" t="n">
        <f aca="false">INDEX($D23:$F23,MATCH($C$6,$D$8:$F$8,0))</f>
        <v>0.12</v>
      </c>
      <c r="D23" s="25" t="n">
        <v>0.12</v>
      </c>
      <c r="E23" s="25" t="n">
        <v>0.12</v>
      </c>
      <c r="F23" s="25" t="n">
        <v>0.12</v>
      </c>
      <c r="G23" s="26" t="s">
        <v>52</v>
      </c>
      <c r="H23" s="27" t="s">
        <v>59</v>
      </c>
    </row>
    <row r="24" customFormat="false" ht="25.5" hidden="false" customHeight="true" outlineLevel="0" collapsed="false">
      <c r="B24" s="18" t="s">
        <v>60</v>
      </c>
      <c r="C24" s="28" t="n">
        <f aca="false">INDEX($D24:$F24,MATCH($C$6,$D$8:$F$8,0))</f>
        <v>5</v>
      </c>
      <c r="D24" s="29" t="n">
        <v>5</v>
      </c>
      <c r="E24" s="29" t="n">
        <v>5</v>
      </c>
      <c r="F24" s="29" t="n">
        <v>5</v>
      </c>
      <c r="G24" s="21" t="s">
        <v>61</v>
      </c>
      <c r="H24" s="22" t="s">
        <v>62</v>
      </c>
    </row>
    <row r="26" customFormat="false" ht="24" hidden="false" customHeight="true" outlineLevel="0" collapsed="false">
      <c r="B26" s="32" t="s">
        <v>63</v>
      </c>
      <c r="C26" s="32"/>
      <c r="D26" s="32"/>
      <c r="E26" s="32"/>
      <c r="F26" s="32"/>
      <c r="G26" s="32"/>
      <c r="H26" s="32"/>
    </row>
  </sheetData>
  <mergeCells count="1">
    <mergeCell ref="B26:H26"/>
  </mergeCells>
  <dataValidations count="1">
    <dataValidation allowBlank="false" errorStyle="stop" operator="between" showDropDown="false" showErrorMessage="false" showInputMessage="false" sqref="C6" type="list">
      <formula1>"Downside,Base,Upside"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8" min="3" style="0" width="15"/>
    <col collapsed="false" customWidth="true" hidden="false" outlineLevel="0" max="9" min="9" style="0" width="54"/>
  </cols>
  <sheetData>
    <row r="2" customFormat="false" ht="17.35" hidden="false" customHeight="false" outlineLevel="0" collapsed="false">
      <c r="B2" s="10" t="s">
        <v>64</v>
      </c>
    </row>
    <row r="3" customFormat="false" ht="15" hidden="false" customHeight="false" outlineLevel="0" collapsed="false">
      <c r="B3" s="11"/>
      <c r="C3" s="11"/>
      <c r="D3" s="11"/>
      <c r="E3" s="11"/>
      <c r="F3" s="11"/>
      <c r="G3" s="11"/>
      <c r="H3" s="11"/>
      <c r="I3" s="11"/>
    </row>
    <row r="4" customFormat="false" ht="15" hidden="false" customHeight="false" outlineLevel="0" collapsed="false">
      <c r="B4" s="12" t="s">
        <v>65</v>
      </c>
    </row>
    <row r="6" customFormat="false" ht="15" hidden="false" customHeight="false" outlineLevel="0" collapsed="false">
      <c r="B6" s="33" t="s">
        <v>66</v>
      </c>
    </row>
    <row r="8" customFormat="false" ht="27.75" hidden="false" customHeight="true" outlineLevel="0" collapsed="false">
      <c r="B8" s="15" t="s">
        <v>67</v>
      </c>
      <c r="C8" s="15" t="s">
        <v>68</v>
      </c>
      <c r="D8" s="15" t="s">
        <v>69</v>
      </c>
      <c r="E8" s="15" t="s">
        <v>70</v>
      </c>
      <c r="F8" s="15" t="s">
        <v>71</v>
      </c>
      <c r="G8" s="15" t="s">
        <v>72</v>
      </c>
      <c r="H8" s="15" t="s">
        <v>73</v>
      </c>
      <c r="I8" s="15" t="s">
        <v>74</v>
      </c>
    </row>
    <row r="9" customFormat="false" ht="30" hidden="false" customHeight="true" outlineLevel="0" collapsed="false">
      <c r="B9" s="23" t="s">
        <v>75</v>
      </c>
      <c r="C9" s="30" t="n">
        <v>900</v>
      </c>
      <c r="D9" s="25" t="n">
        <v>0.7</v>
      </c>
      <c r="E9" s="34" t="n">
        <f aca="false">C9*D9</f>
        <v>630</v>
      </c>
      <c r="F9" s="35" t="n">
        <v>60000</v>
      </c>
      <c r="G9" s="36" t="n">
        <f aca="false">C9*F9</f>
        <v>54000000</v>
      </c>
      <c r="H9" s="36" t="n">
        <f aca="false">E9*F9</f>
        <v>37800000</v>
      </c>
      <c r="I9" s="27" t="s">
        <v>76</v>
      </c>
    </row>
    <row r="10" customFormat="false" ht="30" hidden="false" customHeight="true" outlineLevel="0" collapsed="false">
      <c r="B10" s="18" t="s">
        <v>77</v>
      </c>
      <c r="C10" s="29" t="n">
        <v>4500</v>
      </c>
      <c r="D10" s="31" t="n">
        <v>0.35</v>
      </c>
      <c r="E10" s="37" t="n">
        <f aca="false">C10*D10</f>
        <v>1575</v>
      </c>
      <c r="F10" s="20" t="n">
        <v>18000</v>
      </c>
      <c r="G10" s="38" t="n">
        <f aca="false">C10*F10</f>
        <v>81000000</v>
      </c>
      <c r="H10" s="38" t="n">
        <f aca="false">E10*F10</f>
        <v>28350000</v>
      </c>
      <c r="I10" s="22" t="s">
        <v>78</v>
      </c>
    </row>
    <row r="11" customFormat="false" ht="30" hidden="false" customHeight="true" outlineLevel="0" collapsed="false">
      <c r="B11" s="23" t="s">
        <v>79</v>
      </c>
      <c r="C11" s="30" t="n">
        <v>350</v>
      </c>
      <c r="D11" s="25" t="n">
        <v>0.6</v>
      </c>
      <c r="E11" s="34" t="n">
        <f aca="false">C11*D11</f>
        <v>210</v>
      </c>
      <c r="F11" s="35" t="n">
        <v>75000</v>
      </c>
      <c r="G11" s="36" t="n">
        <f aca="false">C11*F11</f>
        <v>26250000</v>
      </c>
      <c r="H11" s="36" t="n">
        <f aca="false">E11*F11</f>
        <v>15750000</v>
      </c>
      <c r="I11" s="27" t="s">
        <v>80</v>
      </c>
    </row>
    <row r="12" customFormat="false" ht="30" hidden="false" customHeight="true" outlineLevel="0" collapsed="false">
      <c r="B12" s="18" t="s">
        <v>81</v>
      </c>
      <c r="C12" s="29" t="n">
        <v>300</v>
      </c>
      <c r="D12" s="31" t="n">
        <v>0.55</v>
      </c>
      <c r="E12" s="37" t="n">
        <f aca="false">C12*D12</f>
        <v>165</v>
      </c>
      <c r="F12" s="20" t="n">
        <v>45000</v>
      </c>
      <c r="G12" s="38" t="n">
        <f aca="false">C12*F12</f>
        <v>13500000</v>
      </c>
      <c r="H12" s="38" t="n">
        <f aca="false">E12*F12</f>
        <v>7425000</v>
      </c>
      <c r="I12" s="22" t="s">
        <v>82</v>
      </c>
    </row>
    <row r="13" customFormat="false" ht="30" hidden="false" customHeight="true" outlineLevel="0" collapsed="false">
      <c r="B13" s="23" t="s">
        <v>83</v>
      </c>
      <c r="C13" s="30" t="n">
        <v>700</v>
      </c>
      <c r="D13" s="25" t="n">
        <v>0.3</v>
      </c>
      <c r="E13" s="34" t="n">
        <f aca="false">C13*D13</f>
        <v>210</v>
      </c>
      <c r="F13" s="35" t="n">
        <v>30000</v>
      </c>
      <c r="G13" s="36" t="n">
        <f aca="false">C13*F13</f>
        <v>21000000</v>
      </c>
      <c r="H13" s="36" t="n">
        <f aca="false">E13*F13</f>
        <v>6300000</v>
      </c>
      <c r="I13" s="27" t="s">
        <v>84</v>
      </c>
    </row>
    <row r="14" customFormat="false" ht="30" hidden="false" customHeight="true" outlineLevel="0" collapsed="false">
      <c r="B14" s="18" t="s">
        <v>85</v>
      </c>
      <c r="C14" s="29" t="n">
        <v>40</v>
      </c>
      <c r="D14" s="31" t="n">
        <v>0.5</v>
      </c>
      <c r="E14" s="37" t="n">
        <f aca="false">C14*D14</f>
        <v>20</v>
      </c>
      <c r="F14" s="20" t="n">
        <v>150000</v>
      </c>
      <c r="G14" s="38" t="n">
        <f aca="false">C14*F14</f>
        <v>6000000</v>
      </c>
      <c r="H14" s="38" t="n">
        <f aca="false">E14*F14</f>
        <v>3000000</v>
      </c>
      <c r="I14" s="22" t="s">
        <v>86</v>
      </c>
    </row>
    <row r="15" customFormat="false" ht="15" hidden="false" customHeight="false" outlineLevel="0" collapsed="false">
      <c r="B15" s="39" t="s">
        <v>87</v>
      </c>
      <c r="C15" s="40" t="n">
        <f aca="false">SUM(C9:C14)</f>
        <v>6790</v>
      </c>
      <c r="D15" s="41"/>
      <c r="E15" s="40" t="n">
        <f aca="false">SUM(E9:E14)</f>
        <v>2810</v>
      </c>
      <c r="F15" s="42" t="n">
        <f aca="false">IFERROR(G15/C15,0)</f>
        <v>29712.8129602356</v>
      </c>
      <c r="G15" s="42" t="n">
        <f aca="false">SUM(G9:G14)</f>
        <v>201750000</v>
      </c>
      <c r="H15" s="42" t="n">
        <f aca="false">SUM(H9:H14)</f>
        <v>98625000</v>
      </c>
      <c r="I15" s="43"/>
    </row>
    <row r="18" customFormat="false" ht="15" hidden="false" customHeight="false" outlineLevel="0" collapsed="false">
      <c r="B18" s="33" t="s">
        <v>88</v>
      </c>
    </row>
    <row r="19" customFormat="false" ht="27.75" hidden="false" customHeight="true" outlineLevel="0" collapsed="false">
      <c r="B19" s="15" t="s">
        <v>89</v>
      </c>
      <c r="C19" s="15" t="s">
        <v>90</v>
      </c>
      <c r="D19" s="15"/>
      <c r="E19" s="15"/>
      <c r="F19" s="15"/>
      <c r="G19" s="15"/>
      <c r="H19" s="15"/>
      <c r="I19" s="15" t="s">
        <v>91</v>
      </c>
    </row>
    <row r="20" customFormat="false" ht="25.5" hidden="false" customHeight="true" outlineLevel="0" collapsed="false">
      <c r="B20" s="44" t="s">
        <v>92</v>
      </c>
      <c r="C20" s="45" t="n">
        <f aca="false">'Market Sizing'!$G$15</f>
        <v>201750000</v>
      </c>
      <c r="I20" s="27" t="s">
        <v>93</v>
      </c>
    </row>
    <row r="21" customFormat="false" ht="25.5" hidden="false" customHeight="true" outlineLevel="0" collapsed="false">
      <c r="B21" s="46" t="s">
        <v>94</v>
      </c>
      <c r="C21" s="47" t="n">
        <f aca="false">'Market Sizing'!$H$15</f>
        <v>98625000</v>
      </c>
      <c r="D21" s="48"/>
      <c r="E21" s="48"/>
      <c r="F21" s="48"/>
      <c r="G21" s="48"/>
      <c r="H21" s="48"/>
      <c r="I21" s="22" t="s">
        <v>95</v>
      </c>
    </row>
    <row r="22" customFormat="false" ht="25.5" hidden="false" customHeight="true" outlineLevel="0" collapsed="false">
      <c r="B22" s="23" t="s">
        <v>96</v>
      </c>
      <c r="C22" s="49" t="n">
        <f aca="false">'Market Sizing'!$E$15</f>
        <v>2810</v>
      </c>
      <c r="I22" s="27" t="s">
        <v>97</v>
      </c>
    </row>
    <row r="23" customFormat="false" ht="25.5" hidden="false" customHeight="true" outlineLevel="0" collapsed="false">
      <c r="B23" s="18" t="s">
        <v>98</v>
      </c>
      <c r="C23" s="50" t="n">
        <v>0.055</v>
      </c>
      <c r="D23" s="48"/>
      <c r="E23" s="48"/>
      <c r="F23" s="48"/>
      <c r="G23" s="48"/>
      <c r="H23" s="48"/>
      <c r="I23" s="22" t="s">
        <v>99</v>
      </c>
    </row>
    <row r="24" customFormat="false" ht="25.5" hidden="false" customHeight="true" outlineLevel="0" collapsed="false">
      <c r="B24" s="44" t="s">
        <v>100</v>
      </c>
      <c r="C24" s="51" t="n">
        <f aca="false">C21*C23</f>
        <v>5424375</v>
      </c>
      <c r="I24" s="27" t="s">
        <v>101</v>
      </c>
    </row>
    <row r="26" customFormat="false" ht="15" hidden="false" customHeight="false" outlineLevel="0" collapsed="false">
      <c r="B26" s="7" t="s">
        <v>102</v>
      </c>
      <c r="C26" s="1"/>
      <c r="D26" s="1"/>
      <c r="E26" s="1"/>
      <c r="F26" s="1"/>
      <c r="G26" s="1"/>
      <c r="H26" s="1"/>
      <c r="I26" s="1"/>
    </row>
    <row r="27" customFormat="false" ht="15" hidden="false" customHeight="true" outlineLevel="0" collapsed="false">
      <c r="B27" s="52" t="s">
        <v>103</v>
      </c>
      <c r="C27" s="52"/>
      <c r="D27" s="52"/>
      <c r="E27" s="52"/>
      <c r="F27" s="52"/>
      <c r="G27" s="52"/>
      <c r="H27" s="52"/>
      <c r="I27" s="52"/>
    </row>
    <row r="28" customFormat="false" ht="15" hidden="false" customHeight="false" outlineLevel="0" collapsed="false">
      <c r="B28" s="52"/>
      <c r="C28" s="52"/>
      <c r="D28" s="52"/>
      <c r="E28" s="52"/>
      <c r="F28" s="52"/>
      <c r="G28" s="52"/>
      <c r="H28" s="52"/>
      <c r="I28" s="52"/>
    </row>
    <row r="29" customFormat="false" ht="15" hidden="false" customHeight="false" outlineLevel="0" collapsed="false">
      <c r="B29" s="52"/>
      <c r="C29" s="52"/>
      <c r="D29" s="52"/>
      <c r="E29" s="52"/>
      <c r="F29" s="52"/>
      <c r="G29" s="52"/>
      <c r="H29" s="52"/>
      <c r="I29" s="52"/>
    </row>
    <row r="30" customFormat="false" ht="15" hidden="false" customHeight="false" outlineLevel="0" collapsed="false">
      <c r="B30" s="52"/>
      <c r="C30" s="52"/>
      <c r="D30" s="52"/>
      <c r="E30" s="52"/>
      <c r="F30" s="52"/>
      <c r="G30" s="52"/>
      <c r="H30" s="52"/>
      <c r="I30" s="52"/>
    </row>
    <row r="32" customFormat="false" ht="15" hidden="false" customHeight="false" outlineLevel="0" collapsed="false">
      <c r="B32" s="33" t="s">
        <v>104</v>
      </c>
    </row>
    <row r="33" customFormat="false" ht="27.75" hidden="false" customHeight="true" outlineLevel="0" collapsed="false">
      <c r="B33" s="15" t="s">
        <v>67</v>
      </c>
      <c r="C33" s="15" t="s">
        <v>68</v>
      </c>
      <c r="D33" s="15" t="s">
        <v>69</v>
      </c>
      <c r="E33" s="15" t="s">
        <v>70</v>
      </c>
      <c r="F33" s="15" t="s">
        <v>71</v>
      </c>
      <c r="G33" s="15" t="s">
        <v>72</v>
      </c>
      <c r="H33" s="15" t="s">
        <v>73</v>
      </c>
      <c r="I33" s="15" t="s">
        <v>74</v>
      </c>
    </row>
    <row r="34" customFormat="false" ht="30" hidden="false" customHeight="true" outlineLevel="0" collapsed="false">
      <c r="B34" s="23" t="s">
        <v>77</v>
      </c>
      <c r="C34" s="30" t="n">
        <v>4500</v>
      </c>
      <c r="D34" s="25" t="n">
        <v>0.3</v>
      </c>
      <c r="E34" s="34" t="n">
        <f aca="false">C34*D34</f>
        <v>1350</v>
      </c>
      <c r="F34" s="35" t="n">
        <v>42000</v>
      </c>
      <c r="G34" s="36" t="n">
        <f aca="false">C34*F34</f>
        <v>189000000</v>
      </c>
      <c r="H34" s="36" t="n">
        <f aca="false">E34*F34</f>
        <v>56700000</v>
      </c>
      <c r="I34" s="27" t="s">
        <v>105</v>
      </c>
    </row>
    <row r="35" customFormat="false" ht="30" hidden="false" customHeight="true" outlineLevel="0" collapsed="false">
      <c r="B35" s="18" t="s">
        <v>75</v>
      </c>
      <c r="C35" s="29" t="n">
        <v>900</v>
      </c>
      <c r="D35" s="31" t="n">
        <v>0.25</v>
      </c>
      <c r="E35" s="37" t="n">
        <f aca="false">C35*D35</f>
        <v>225</v>
      </c>
      <c r="F35" s="20" t="n">
        <v>110000</v>
      </c>
      <c r="G35" s="38" t="n">
        <f aca="false">C35*F35</f>
        <v>99000000</v>
      </c>
      <c r="H35" s="38" t="n">
        <f aca="false">E35*F35</f>
        <v>24750000</v>
      </c>
      <c r="I35" s="22" t="s">
        <v>106</v>
      </c>
    </row>
    <row r="36" customFormat="false" ht="30" hidden="false" customHeight="true" outlineLevel="0" collapsed="false">
      <c r="B36" s="23" t="s">
        <v>107</v>
      </c>
      <c r="C36" s="30" t="n">
        <v>600</v>
      </c>
      <c r="D36" s="25" t="n">
        <v>0.55</v>
      </c>
      <c r="E36" s="34" t="n">
        <f aca="false">C36*D36</f>
        <v>330</v>
      </c>
      <c r="F36" s="35" t="n">
        <v>75000</v>
      </c>
      <c r="G36" s="36" t="n">
        <f aca="false">C36*F36</f>
        <v>45000000</v>
      </c>
      <c r="H36" s="36" t="n">
        <f aca="false">E36*F36</f>
        <v>24750000</v>
      </c>
      <c r="I36" s="27" t="s">
        <v>108</v>
      </c>
    </row>
    <row r="37" customFormat="false" ht="15" hidden="false" customHeight="false" outlineLevel="0" collapsed="false">
      <c r="B37" s="39" t="s">
        <v>87</v>
      </c>
      <c r="C37" s="40" t="n">
        <f aca="false">SUM(C34:C36)</f>
        <v>6000</v>
      </c>
      <c r="D37" s="53"/>
      <c r="E37" s="40" t="n">
        <f aca="false">SUM(E34:E36)</f>
        <v>1905</v>
      </c>
      <c r="F37" s="41"/>
      <c r="G37" s="42" t="n">
        <f aca="false">SUM(G34:G36)</f>
        <v>333000000</v>
      </c>
      <c r="H37" s="42" t="n">
        <f aca="false">SUM(H34:H36)</f>
        <v>106200000</v>
      </c>
      <c r="I37" s="43"/>
    </row>
    <row r="39" customFormat="false" ht="15" hidden="false" customHeight="true" outlineLevel="0" collapsed="false">
      <c r="B39" s="32" t="s">
        <v>109</v>
      </c>
      <c r="C39" s="32"/>
      <c r="D39" s="32"/>
      <c r="E39" s="32"/>
      <c r="F39" s="32"/>
      <c r="G39" s="32"/>
      <c r="H39" s="32"/>
      <c r="I39" s="32"/>
    </row>
    <row r="40" customFormat="false" ht="15" hidden="false" customHeight="false" outlineLevel="0" collapsed="false">
      <c r="B40" s="32"/>
      <c r="C40" s="32"/>
      <c r="D40" s="32"/>
      <c r="E40" s="32"/>
      <c r="F40" s="32"/>
      <c r="G40" s="32"/>
      <c r="H40" s="32"/>
      <c r="I40" s="32"/>
    </row>
  </sheetData>
  <mergeCells count="2">
    <mergeCell ref="B27:I30"/>
    <mergeCell ref="B39:I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7" min="3" style="0" width="14"/>
    <col collapsed="false" customWidth="true" hidden="false" outlineLevel="0" max="8" min="8" style="0" width="58"/>
  </cols>
  <sheetData>
    <row r="2" customFormat="false" ht="17.35" hidden="false" customHeight="false" outlineLevel="0" collapsed="false">
      <c r="B2" s="10" t="s">
        <v>110</v>
      </c>
    </row>
    <row r="3" customFormat="false" ht="15" hidden="false" customHeight="false" outlineLevel="0" collapsed="false">
      <c r="B3" s="11"/>
      <c r="C3" s="11"/>
      <c r="D3" s="11"/>
      <c r="E3" s="11"/>
      <c r="F3" s="11"/>
      <c r="G3" s="11"/>
      <c r="H3" s="11"/>
    </row>
    <row r="4" customFormat="false" ht="15" hidden="false" customHeight="false" outlineLevel="0" collapsed="false">
      <c r="B4" s="12" t="s">
        <v>111</v>
      </c>
    </row>
    <row r="6" customFormat="false" ht="15" hidden="false" customHeight="false" outlineLevel="0" collapsed="false">
      <c r="B6" s="13" t="s">
        <v>112</v>
      </c>
      <c r="C6" s="54" t="str">
        <f aca="false">Assumptions!$C$6</f>
        <v>Base</v>
      </c>
    </row>
    <row r="8" customFormat="false" ht="15" hidden="false" customHeight="false" outlineLevel="0" collapsed="false">
      <c r="B8" s="16" t="s">
        <v>113</v>
      </c>
      <c r="C8" s="17"/>
      <c r="D8" s="17"/>
      <c r="E8" s="17"/>
      <c r="F8" s="17"/>
      <c r="G8" s="17"/>
      <c r="H8" s="17"/>
    </row>
    <row r="9" customFormat="false" ht="15" hidden="false" customHeight="false" outlineLevel="0" collapsed="false">
      <c r="B9" s="23" t="s">
        <v>114</v>
      </c>
      <c r="C9" s="55" t="n">
        <f aca="false">Assumptions!$C$10</f>
        <v>32000</v>
      </c>
    </row>
    <row r="10" customFormat="false" ht="15" hidden="false" customHeight="false" outlineLevel="0" collapsed="false">
      <c r="B10" s="18" t="s">
        <v>51</v>
      </c>
      <c r="C10" s="56" t="n">
        <f aca="false">Assumptions!$C$20</f>
        <v>0.78</v>
      </c>
      <c r="D10" s="48"/>
      <c r="E10" s="48"/>
      <c r="F10" s="48"/>
      <c r="G10" s="48"/>
      <c r="H10" s="48"/>
    </row>
    <row r="11" customFormat="false" ht="15" hidden="false" customHeight="false" outlineLevel="0" collapsed="false">
      <c r="B11" s="23" t="s">
        <v>49</v>
      </c>
      <c r="C11" s="57" t="n">
        <f aca="false">Assumptions!$C$19</f>
        <v>1.12</v>
      </c>
    </row>
    <row r="12" customFormat="false" ht="15" hidden="false" customHeight="false" outlineLevel="0" collapsed="false">
      <c r="B12" s="18" t="s">
        <v>47</v>
      </c>
      <c r="C12" s="56" t="n">
        <f aca="false">Assumptions!$C$18</f>
        <v>0.88</v>
      </c>
      <c r="D12" s="48"/>
      <c r="E12" s="48"/>
      <c r="F12" s="48"/>
      <c r="G12" s="48"/>
      <c r="H12" s="48"/>
    </row>
    <row r="13" customFormat="false" ht="15" hidden="false" customHeight="false" outlineLevel="0" collapsed="false">
      <c r="B13" s="23" t="s">
        <v>55</v>
      </c>
      <c r="C13" s="55" t="n">
        <f aca="false">Assumptions!$C$22</f>
        <v>28000</v>
      </c>
    </row>
    <row r="14" customFormat="false" ht="15" hidden="false" customHeight="false" outlineLevel="0" collapsed="false">
      <c r="B14" s="18" t="s">
        <v>58</v>
      </c>
      <c r="C14" s="56" t="n">
        <f aca="false">Assumptions!$C$23</f>
        <v>0.12</v>
      </c>
      <c r="D14" s="48"/>
      <c r="E14" s="48"/>
      <c r="F14" s="48"/>
      <c r="G14" s="48"/>
      <c r="H14" s="48"/>
    </row>
    <row r="16" customFormat="false" ht="15" hidden="false" customHeight="false" outlineLevel="0" collapsed="false">
      <c r="B16" s="16" t="s">
        <v>115</v>
      </c>
      <c r="C16" s="17"/>
      <c r="D16" s="17"/>
      <c r="E16" s="17"/>
      <c r="F16" s="17"/>
      <c r="G16" s="17"/>
      <c r="H16" s="17"/>
    </row>
    <row r="17" customFormat="false" ht="27.75" hidden="false" customHeight="true" outlineLevel="0" collapsed="false">
      <c r="B17" s="15" t="s">
        <v>116</v>
      </c>
      <c r="C17" s="15" t="s">
        <v>117</v>
      </c>
      <c r="D17" s="15" t="s">
        <v>118</v>
      </c>
      <c r="E17" s="15" t="s">
        <v>119</v>
      </c>
      <c r="F17" s="15" t="s">
        <v>120</v>
      </c>
      <c r="G17" s="15" t="s">
        <v>121</v>
      </c>
      <c r="H17" s="15" t="s">
        <v>122</v>
      </c>
    </row>
    <row r="18" customFormat="false" ht="15" hidden="false" customHeight="false" outlineLevel="0" collapsed="false">
      <c r="B18" s="23" t="s">
        <v>123</v>
      </c>
      <c r="C18" s="36" t="n">
        <f aca="false">$C$9</f>
        <v>32000</v>
      </c>
      <c r="D18" s="36" t="n">
        <f aca="false">C18*$C$11</f>
        <v>35840</v>
      </c>
      <c r="E18" s="36" t="n">
        <f aca="false">D18*$C$11</f>
        <v>40140.8</v>
      </c>
      <c r="F18" s="36" t="n">
        <f aca="false">E18*$C$11</f>
        <v>44957.696</v>
      </c>
      <c r="G18" s="36" t="n">
        <f aca="false">F18*$C$11</f>
        <v>50352.61952</v>
      </c>
    </row>
    <row r="19" customFormat="false" ht="15" hidden="false" customHeight="false" outlineLevel="0" collapsed="false">
      <c r="B19" s="18" t="s">
        <v>124</v>
      </c>
      <c r="C19" s="38" t="n">
        <f aca="false">C18*$C$10</f>
        <v>24960</v>
      </c>
      <c r="D19" s="38" t="n">
        <f aca="false">D18*$C$10</f>
        <v>27955.2</v>
      </c>
      <c r="E19" s="38" t="n">
        <f aca="false">E18*$C$10</f>
        <v>31309.824</v>
      </c>
      <c r="F19" s="38" t="n">
        <f aca="false">F18*$C$10</f>
        <v>35067.00288</v>
      </c>
      <c r="G19" s="38" t="n">
        <f aca="false">G18*$C$10</f>
        <v>39275.0432256</v>
      </c>
      <c r="H19" s="48"/>
    </row>
    <row r="20" customFormat="false" ht="15" hidden="false" customHeight="false" outlineLevel="0" collapsed="false">
      <c r="B20" s="23" t="s">
        <v>125</v>
      </c>
      <c r="C20" s="58" t="n">
        <f aca="false">1/(1+$C$14)^1</f>
        <v>0.892857142857143</v>
      </c>
      <c r="D20" s="58" t="n">
        <f aca="false">1/(1+$C$14)^2</f>
        <v>0.79719387755102</v>
      </c>
      <c r="E20" s="58" t="n">
        <f aca="false">1/(1+$C$14)^3</f>
        <v>0.711780247813411</v>
      </c>
      <c r="F20" s="58" t="n">
        <f aca="false">1/(1+$C$14)^4</f>
        <v>0.635518078404831</v>
      </c>
      <c r="G20" s="58" t="n">
        <f aca="false">1/(1+$C$14)^5</f>
        <v>0.567426855718599</v>
      </c>
    </row>
    <row r="21" customFormat="false" ht="15" hidden="false" customHeight="false" outlineLevel="0" collapsed="false">
      <c r="B21" s="59" t="s">
        <v>126</v>
      </c>
      <c r="C21" s="60" t="n">
        <f aca="false">C19*C20</f>
        <v>22285.7142857143</v>
      </c>
      <c r="D21" s="60" t="n">
        <f aca="false">D19*D20</f>
        <v>22285.7142857143</v>
      </c>
      <c r="E21" s="60" t="n">
        <f aca="false">E19*E20</f>
        <v>22285.7142857143</v>
      </c>
      <c r="F21" s="60" t="n">
        <f aca="false">F19*F20</f>
        <v>22285.7142857143</v>
      </c>
      <c r="G21" s="60" t="n">
        <f aca="false">G19*G20</f>
        <v>22285.7142857143</v>
      </c>
      <c r="H21" s="61" t="n">
        <f aca="false">SUM(C21:G21)</f>
        <v>111428.571428571</v>
      </c>
    </row>
    <row r="23" customFormat="false" ht="15" hidden="false" customHeight="false" outlineLevel="0" collapsed="false">
      <c r="B23" s="16" t="s">
        <v>127</v>
      </c>
      <c r="C23" s="17"/>
      <c r="D23" s="17"/>
      <c r="E23" s="17"/>
      <c r="F23" s="17"/>
      <c r="G23" s="17"/>
      <c r="H23" s="17"/>
    </row>
    <row r="24" customFormat="false" ht="27.75" hidden="false" customHeight="true" outlineLevel="0" collapsed="false">
      <c r="B24" s="15" t="s">
        <v>89</v>
      </c>
      <c r="C24" s="15" t="s">
        <v>90</v>
      </c>
      <c r="D24" s="15"/>
      <c r="E24" s="15"/>
      <c r="F24" s="15"/>
      <c r="G24" s="15"/>
      <c r="H24" s="15" t="s">
        <v>128</v>
      </c>
    </row>
    <row r="25" customFormat="false" ht="25.5" hidden="false" customHeight="true" outlineLevel="0" collapsed="false">
      <c r="B25" s="44" t="s">
        <v>129</v>
      </c>
      <c r="C25" s="19" t="n">
        <f aca="false">$H$21</f>
        <v>111428.571428571</v>
      </c>
      <c r="H25" s="27" t="s">
        <v>130</v>
      </c>
    </row>
    <row r="26" customFormat="false" ht="25.5" hidden="false" customHeight="true" outlineLevel="0" collapsed="false">
      <c r="B26" s="46" t="s">
        <v>131</v>
      </c>
      <c r="C26" s="19" t="n">
        <f aca="false">$C$13</f>
        <v>28000</v>
      </c>
      <c r="D26" s="48"/>
      <c r="E26" s="48"/>
      <c r="F26" s="48"/>
      <c r="G26" s="48"/>
      <c r="H26" s="22" t="s">
        <v>132</v>
      </c>
    </row>
    <row r="27" customFormat="false" ht="25.5" hidden="false" customHeight="true" outlineLevel="0" collapsed="false">
      <c r="B27" s="44" t="s">
        <v>133</v>
      </c>
      <c r="C27" s="62" t="n">
        <f aca="false">IFERROR($H$21/$C$13,0)</f>
        <v>3.97959183673469</v>
      </c>
      <c r="H27" s="27" t="s">
        <v>134</v>
      </c>
    </row>
    <row r="28" customFormat="false" ht="25.5" hidden="false" customHeight="true" outlineLevel="0" collapsed="false">
      <c r="B28" s="46" t="s">
        <v>135</v>
      </c>
      <c r="C28" s="63" t="n">
        <f aca="false">IFERROR($C$13/(C19/12),0)</f>
        <v>13.4615384615385</v>
      </c>
      <c r="D28" s="48"/>
      <c r="E28" s="48"/>
      <c r="F28" s="48"/>
      <c r="G28" s="48"/>
      <c r="H28" s="22" t="s">
        <v>136</v>
      </c>
    </row>
    <row r="29" customFormat="false" ht="25.5" hidden="false" customHeight="true" outlineLevel="0" collapsed="false">
      <c r="B29" s="44" t="s">
        <v>137</v>
      </c>
      <c r="C29" s="19" t="n">
        <f aca="false">C19</f>
        <v>24960</v>
      </c>
      <c r="H29" s="27" t="s">
        <v>138</v>
      </c>
    </row>
    <row r="30" customFormat="false" ht="25.5" hidden="false" customHeight="true" outlineLevel="0" collapsed="false">
      <c r="B30" s="46" t="s">
        <v>139</v>
      </c>
      <c r="C30" s="63" t="n">
        <f aca="false">IFERROR(1/(1-$C$12),0)</f>
        <v>8.33333333333333</v>
      </c>
      <c r="D30" s="48"/>
      <c r="E30" s="48"/>
      <c r="F30" s="48"/>
      <c r="G30" s="48"/>
      <c r="H30" s="22" t="s">
        <v>140</v>
      </c>
    </row>
    <row r="32" customFormat="false" ht="15" hidden="false" customHeight="true" outlineLevel="0" collapsed="false">
      <c r="B32" s="32" t="s">
        <v>141</v>
      </c>
      <c r="C32" s="32"/>
      <c r="D32" s="32"/>
      <c r="E32" s="32"/>
      <c r="F32" s="32"/>
      <c r="G32" s="32"/>
      <c r="H32" s="32"/>
    </row>
    <row r="33" customFormat="false" ht="15" hidden="false" customHeight="false" outlineLevel="0" collapsed="false">
      <c r="B33" s="32"/>
      <c r="C33" s="32"/>
      <c r="D33" s="32"/>
      <c r="E33" s="32"/>
      <c r="F33" s="32"/>
      <c r="G33" s="32"/>
      <c r="H33" s="32"/>
    </row>
  </sheetData>
  <mergeCells count="1">
    <mergeCell ref="B32: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7" min="3" style="0" width="15"/>
    <col collapsed="false" customWidth="true" hidden="false" outlineLevel="0" max="8" min="8" style="0" width="52"/>
  </cols>
  <sheetData>
    <row r="2" customFormat="false" ht="17.35" hidden="false" customHeight="false" outlineLevel="0" collapsed="false">
      <c r="B2" s="10" t="s">
        <v>142</v>
      </c>
    </row>
    <row r="3" customFormat="false" ht="15" hidden="false" customHeight="false" outlineLevel="0" collapsed="false">
      <c r="B3" s="11"/>
      <c r="C3" s="11"/>
      <c r="D3" s="11"/>
      <c r="E3" s="11"/>
      <c r="F3" s="11"/>
      <c r="G3" s="11"/>
      <c r="H3" s="11"/>
    </row>
    <row r="4" customFormat="false" ht="15" hidden="false" customHeight="false" outlineLevel="0" collapsed="false">
      <c r="B4" s="12" t="s">
        <v>143</v>
      </c>
    </row>
    <row r="6" customFormat="false" ht="15" hidden="false" customHeight="false" outlineLevel="0" collapsed="false">
      <c r="B6" s="13" t="s">
        <v>112</v>
      </c>
      <c r="C6" s="54" t="str">
        <f aca="false">Assumptions!$C$6</f>
        <v>Base</v>
      </c>
    </row>
    <row r="8" customFormat="false" ht="27.75" hidden="false" customHeight="true" outlineLevel="0" collapsed="false">
      <c r="B8" s="15" t="s">
        <v>144</v>
      </c>
      <c r="C8" s="15" t="s">
        <v>117</v>
      </c>
      <c r="D8" s="15" t="s">
        <v>118</v>
      </c>
      <c r="E8" s="15" t="s">
        <v>119</v>
      </c>
      <c r="F8" s="15" t="s">
        <v>120</v>
      </c>
      <c r="G8" s="15" t="s">
        <v>121</v>
      </c>
      <c r="H8" s="15" t="s">
        <v>91</v>
      </c>
    </row>
    <row r="9" customFormat="false" ht="15" hidden="false" customHeight="false" outlineLevel="0" collapsed="false">
      <c r="B9" s="16" t="s">
        <v>145</v>
      </c>
      <c r="C9" s="17"/>
      <c r="D9" s="17"/>
      <c r="E9" s="17"/>
      <c r="F9" s="17"/>
      <c r="G9" s="17"/>
      <c r="H9" s="17"/>
    </row>
    <row r="10" customFormat="false" ht="24" hidden="false" customHeight="true" outlineLevel="0" collapsed="false">
      <c r="B10" s="18" t="s">
        <v>146</v>
      </c>
      <c r="C10" s="37" t="n">
        <f aca="false">Assumptions!$C$12</f>
        <v>8</v>
      </c>
      <c r="D10" s="37" t="n">
        <f aca="false">Assumptions!$C$13</f>
        <v>28</v>
      </c>
      <c r="E10" s="37" t="n">
        <f aca="false">Assumptions!$C$14</f>
        <v>48</v>
      </c>
      <c r="F10" s="37" t="n">
        <f aca="false">Assumptions!$C$15</f>
        <v>70</v>
      </c>
      <c r="G10" s="37" t="n">
        <f aca="false">Assumptions!$C$16</f>
        <v>95</v>
      </c>
      <c r="H10" s="22" t="s">
        <v>147</v>
      </c>
    </row>
    <row r="11" customFormat="false" ht="24" hidden="false" customHeight="true" outlineLevel="0" collapsed="false">
      <c r="B11" s="23" t="s">
        <v>148</v>
      </c>
      <c r="C11" s="34" t="n">
        <v>0</v>
      </c>
      <c r="D11" s="34" t="n">
        <f aca="false">C13</f>
        <v>8</v>
      </c>
      <c r="E11" s="34" t="n">
        <f aca="false">D13</f>
        <v>35.04</v>
      </c>
      <c r="F11" s="34" t="n">
        <f aca="false">E13</f>
        <v>78.8352</v>
      </c>
      <c r="G11" s="34" t="n">
        <f aca="false">F13</f>
        <v>139.374976</v>
      </c>
      <c r="H11" s="27" t="s">
        <v>149</v>
      </c>
    </row>
    <row r="12" customFormat="false" ht="24" hidden="false" customHeight="true" outlineLevel="0" collapsed="false">
      <c r="B12" s="18" t="s">
        <v>150</v>
      </c>
      <c r="C12" s="37" t="n">
        <f aca="false">-C11*(1-Assumptions!$C$18)</f>
        <v>-0</v>
      </c>
      <c r="D12" s="37" t="n">
        <f aca="false">-D11*(1-Assumptions!$C$18)</f>
        <v>-0.96</v>
      </c>
      <c r="E12" s="37" t="n">
        <f aca="false">-E11*(1-Assumptions!$C$18)</f>
        <v>-4.2048</v>
      </c>
      <c r="F12" s="37" t="n">
        <f aca="false">-F11*(1-Assumptions!$C$18)</f>
        <v>-9.460224</v>
      </c>
      <c r="G12" s="37" t="n">
        <f aca="false">-G11*(1-Assumptions!$C$18)</f>
        <v>-16.72499712</v>
      </c>
      <c r="H12" s="22" t="s">
        <v>151</v>
      </c>
    </row>
    <row r="13" customFormat="false" ht="24" hidden="false" customHeight="true" outlineLevel="0" collapsed="false">
      <c r="B13" s="64" t="s">
        <v>152</v>
      </c>
      <c r="C13" s="65" t="n">
        <f aca="false">C11+C10+C12</f>
        <v>8</v>
      </c>
      <c r="D13" s="65" t="n">
        <f aca="false">D11+D10+D12</f>
        <v>35.04</v>
      </c>
      <c r="E13" s="65" t="n">
        <f aca="false">E11+E10+E12</f>
        <v>78.8352</v>
      </c>
      <c r="F13" s="65" t="n">
        <f aca="false">F11+F10+F12</f>
        <v>139.374976</v>
      </c>
      <c r="G13" s="65" t="n">
        <f aca="false">G11+G10+G12</f>
        <v>217.64997888</v>
      </c>
      <c r="H13" s="66" t="s">
        <v>153</v>
      </c>
    </row>
    <row r="14" customFormat="false" ht="15" hidden="false" customHeight="false" outlineLevel="0" collapsed="false">
      <c r="B14" s="16" t="s">
        <v>154</v>
      </c>
      <c r="C14" s="17"/>
      <c r="D14" s="17"/>
      <c r="E14" s="17"/>
      <c r="F14" s="17"/>
      <c r="G14" s="17"/>
      <c r="H14" s="17"/>
    </row>
    <row r="15" customFormat="false" ht="24" hidden="false" customHeight="true" outlineLevel="0" collapsed="false">
      <c r="B15" s="23" t="s">
        <v>155</v>
      </c>
      <c r="C15" s="36" t="n">
        <f aca="false">Assumptions!$C$10*(1+Assumptions!$C$11)^0</f>
        <v>32000</v>
      </c>
      <c r="D15" s="36" t="n">
        <f aca="false">Assumptions!$C$10*(1+Assumptions!$C$11)^1</f>
        <v>33280</v>
      </c>
      <c r="E15" s="36" t="n">
        <f aca="false">Assumptions!$C$10*(1+Assumptions!$C$11)^2</f>
        <v>34611.2</v>
      </c>
      <c r="F15" s="36" t="n">
        <f aca="false">Assumptions!$C$10*(1+Assumptions!$C$11)^3</f>
        <v>35995.648</v>
      </c>
      <c r="G15" s="36" t="n">
        <f aca="false">Assumptions!$C$10*(1+Assumptions!$C$11)^4</f>
        <v>37435.47392</v>
      </c>
      <c r="H15" s="27" t="s">
        <v>156</v>
      </c>
    </row>
    <row r="16" customFormat="false" ht="24" hidden="false" customHeight="true" outlineLevel="0" collapsed="false">
      <c r="B16" s="18" t="s">
        <v>157</v>
      </c>
      <c r="C16" s="38" t="n">
        <v>0</v>
      </c>
      <c r="D16" s="38" t="n">
        <f aca="false">C20</f>
        <v>256000</v>
      </c>
      <c r="E16" s="38" t="n">
        <f aca="false">D20</f>
        <v>1218560</v>
      </c>
      <c r="F16" s="38" t="n">
        <f aca="false">E20</f>
        <v>3026124.8</v>
      </c>
      <c r="G16" s="38" t="n">
        <f aca="false">F20</f>
        <v>5908955.136</v>
      </c>
      <c r="H16" s="22" t="s">
        <v>158</v>
      </c>
    </row>
    <row r="17" customFormat="false" ht="24" hidden="false" customHeight="true" outlineLevel="0" collapsed="false">
      <c r="B17" s="23" t="s">
        <v>159</v>
      </c>
      <c r="C17" s="36" t="n">
        <f aca="false">C10*C15</f>
        <v>256000</v>
      </c>
      <c r="D17" s="36" t="n">
        <f aca="false">D10*D15</f>
        <v>931840</v>
      </c>
      <c r="E17" s="36" t="n">
        <f aca="false">E10*E15</f>
        <v>1661337.6</v>
      </c>
      <c r="F17" s="36" t="n">
        <f aca="false">F10*F15</f>
        <v>2519695.36</v>
      </c>
      <c r="G17" s="36" t="n">
        <f aca="false">G10*G15</f>
        <v>3556370.0224</v>
      </c>
      <c r="H17" s="27" t="s">
        <v>160</v>
      </c>
    </row>
    <row r="18" customFormat="false" ht="24" hidden="false" customHeight="true" outlineLevel="0" collapsed="false">
      <c r="B18" s="18" t="s">
        <v>161</v>
      </c>
      <c r="C18" s="38" t="n">
        <f aca="false">C16*(Assumptions!$C$19-Assumptions!$C$18)</f>
        <v>0</v>
      </c>
      <c r="D18" s="38" t="n">
        <f aca="false">D16*(Assumptions!$C$19-Assumptions!$C$18)</f>
        <v>61440</v>
      </c>
      <c r="E18" s="38" t="n">
        <f aca="false">E16*(Assumptions!$C$19-Assumptions!$C$18)</f>
        <v>292454.4</v>
      </c>
      <c r="F18" s="38" t="n">
        <f aca="false">F16*(Assumptions!$C$19-Assumptions!$C$18)</f>
        <v>726269.952</v>
      </c>
      <c r="G18" s="38" t="n">
        <f aca="false">G16*(Assumptions!$C$19-Assumptions!$C$18)</f>
        <v>1418149.23264</v>
      </c>
      <c r="H18" s="22" t="s">
        <v>162</v>
      </c>
    </row>
    <row r="19" customFormat="false" ht="24" hidden="false" customHeight="true" outlineLevel="0" collapsed="false">
      <c r="B19" s="23" t="s">
        <v>163</v>
      </c>
      <c r="C19" s="36" t="n">
        <f aca="false">-C16*(1-Assumptions!$C$18)</f>
        <v>-0</v>
      </c>
      <c r="D19" s="36" t="n">
        <f aca="false">-D16*(1-Assumptions!$C$18)</f>
        <v>-30720</v>
      </c>
      <c r="E19" s="36" t="n">
        <f aca="false">-E16*(1-Assumptions!$C$18)</f>
        <v>-146227.2</v>
      </c>
      <c r="F19" s="36" t="n">
        <f aca="false">-F16*(1-Assumptions!$C$18)</f>
        <v>-363134.976</v>
      </c>
      <c r="G19" s="36" t="n">
        <f aca="false">-G16*(1-Assumptions!$C$18)</f>
        <v>-709074.61632</v>
      </c>
      <c r="H19" s="27" t="s">
        <v>164</v>
      </c>
    </row>
    <row r="20" customFormat="false" ht="24" hidden="false" customHeight="true" outlineLevel="0" collapsed="false">
      <c r="B20" s="59" t="s">
        <v>165</v>
      </c>
      <c r="C20" s="61" t="n">
        <f aca="false">C16+C17+C18+C19</f>
        <v>256000</v>
      </c>
      <c r="D20" s="61" t="n">
        <f aca="false">D16+D17+D18+D19</f>
        <v>1218560</v>
      </c>
      <c r="E20" s="61" t="n">
        <f aca="false">E16+E17+E18+E19</f>
        <v>3026124.8</v>
      </c>
      <c r="F20" s="61" t="n">
        <f aca="false">F16+F17+F18+F19</f>
        <v>5908955.136</v>
      </c>
      <c r="G20" s="61" t="n">
        <f aca="false">G16+G17+G18+G19</f>
        <v>10174399.77472</v>
      </c>
      <c r="H20" s="67" t="s">
        <v>166</v>
      </c>
    </row>
    <row r="21" customFormat="false" ht="15" hidden="false" customHeight="false" outlineLevel="0" collapsed="false">
      <c r="B21" s="16" t="s">
        <v>167</v>
      </c>
      <c r="C21" s="17"/>
      <c r="D21" s="17"/>
      <c r="E21" s="17"/>
      <c r="F21" s="17"/>
      <c r="G21" s="17"/>
      <c r="H21" s="17"/>
    </row>
    <row r="22" customFormat="false" ht="24" hidden="false" customHeight="true" outlineLevel="0" collapsed="false">
      <c r="B22" s="18" t="s">
        <v>168</v>
      </c>
      <c r="C22" s="38" t="n">
        <f aca="false">AVERAGE(C16,C20)</f>
        <v>128000</v>
      </c>
      <c r="D22" s="38" t="n">
        <f aca="false">AVERAGE(D16,D20)</f>
        <v>737280</v>
      </c>
      <c r="E22" s="38" t="n">
        <f aca="false">AVERAGE(E16,E20)</f>
        <v>2122342.4</v>
      </c>
      <c r="F22" s="38" t="n">
        <f aca="false">AVERAGE(F16,F20)</f>
        <v>4467539.968</v>
      </c>
      <c r="G22" s="38" t="n">
        <f aca="false">AVERAGE(G16,G20)</f>
        <v>8041677.45536</v>
      </c>
      <c r="H22" s="22" t="s">
        <v>169</v>
      </c>
    </row>
    <row r="23" customFormat="false" ht="24" hidden="false" customHeight="true" outlineLevel="0" collapsed="false">
      <c r="B23" s="23" t="s">
        <v>170</v>
      </c>
      <c r="C23" s="36" t="n">
        <f aca="false">-C22*(1-Assumptions!$C$20)</f>
        <v>-28160</v>
      </c>
      <c r="D23" s="36" t="n">
        <f aca="false">-D22*(1-Assumptions!$C$20)</f>
        <v>-162201.6</v>
      </c>
      <c r="E23" s="36" t="n">
        <f aca="false">-E22*(1-Assumptions!$C$20)</f>
        <v>-466915.328</v>
      </c>
      <c r="F23" s="36" t="n">
        <f aca="false">-F22*(1-Assumptions!$C$20)</f>
        <v>-982858.79296</v>
      </c>
      <c r="G23" s="36" t="n">
        <f aca="false">-G22*(1-Assumptions!$C$20)</f>
        <v>-1769169.0401792</v>
      </c>
      <c r="H23" s="27" t="s">
        <v>171</v>
      </c>
    </row>
    <row r="24" customFormat="false" ht="24" hidden="false" customHeight="true" outlineLevel="0" collapsed="false">
      <c r="B24" s="59" t="s">
        <v>172</v>
      </c>
      <c r="C24" s="61" t="n">
        <f aca="false">C22+C23</f>
        <v>99840</v>
      </c>
      <c r="D24" s="61" t="n">
        <f aca="false">D22+D23</f>
        <v>575078.4</v>
      </c>
      <c r="E24" s="61" t="n">
        <f aca="false">E22+E23</f>
        <v>1655427.072</v>
      </c>
      <c r="F24" s="61" t="n">
        <f aca="false">F22+F23</f>
        <v>3484681.17504</v>
      </c>
      <c r="G24" s="61" t="n">
        <f aca="false">G22+G23</f>
        <v>6272508.4151808</v>
      </c>
      <c r="H24" s="67"/>
    </row>
    <row r="25" customFormat="false" ht="24" hidden="false" customHeight="true" outlineLevel="0" collapsed="false">
      <c r="B25" s="23" t="s">
        <v>173</v>
      </c>
      <c r="C25" s="36" t="n">
        <f aca="false">-C10*Assumptions!$C$22</f>
        <v>-224000</v>
      </c>
      <c r="D25" s="36" t="n">
        <f aca="false">-D10*Assumptions!$C$22</f>
        <v>-784000</v>
      </c>
      <c r="E25" s="36" t="n">
        <f aca="false">-E10*Assumptions!$C$22</f>
        <v>-1344000</v>
      </c>
      <c r="F25" s="36" t="n">
        <f aca="false">-F10*Assumptions!$C$22</f>
        <v>-1960000</v>
      </c>
      <c r="G25" s="36" t="n">
        <f aca="false">-G10*Assumptions!$C$22</f>
        <v>-2660000</v>
      </c>
      <c r="H25" s="27" t="s">
        <v>174</v>
      </c>
    </row>
    <row r="26" customFormat="false" ht="24" hidden="false" customHeight="true" outlineLevel="0" collapsed="false">
      <c r="B26" s="18" t="s">
        <v>175</v>
      </c>
      <c r="C26" s="20" t="n">
        <v>-150000</v>
      </c>
      <c r="D26" s="20" t="n">
        <v>-500000</v>
      </c>
      <c r="E26" s="20" t="n">
        <v>-900000</v>
      </c>
      <c r="F26" s="20" t="n">
        <v>-1300000</v>
      </c>
      <c r="G26" s="20" t="n">
        <v>-1700000</v>
      </c>
      <c r="H26" s="22" t="s">
        <v>176</v>
      </c>
    </row>
    <row r="27" customFormat="false" ht="24" hidden="false" customHeight="true" outlineLevel="0" collapsed="false">
      <c r="B27" s="64" t="s">
        <v>177</v>
      </c>
      <c r="C27" s="68" t="n">
        <f aca="false">C25+C26</f>
        <v>-374000</v>
      </c>
      <c r="D27" s="68" t="n">
        <f aca="false">D25+D26</f>
        <v>-1284000</v>
      </c>
      <c r="E27" s="68" t="n">
        <f aca="false">E25+E26</f>
        <v>-2244000</v>
      </c>
      <c r="F27" s="68" t="n">
        <f aca="false">F25+F26</f>
        <v>-3260000</v>
      </c>
      <c r="G27" s="68" t="n">
        <f aca="false">G25+G26</f>
        <v>-4360000</v>
      </c>
      <c r="H27" s="66"/>
    </row>
    <row r="28" customFormat="false" ht="24" hidden="false" customHeight="true" outlineLevel="0" collapsed="false">
      <c r="B28" s="18" t="s">
        <v>178</v>
      </c>
      <c r="C28" s="20" t="n">
        <v>-900000</v>
      </c>
      <c r="D28" s="20" t="n">
        <v>-1600000</v>
      </c>
      <c r="E28" s="20" t="n">
        <v>-2400000</v>
      </c>
      <c r="F28" s="20" t="n">
        <v>-3200000</v>
      </c>
      <c r="G28" s="20" t="n">
        <v>-4000000</v>
      </c>
      <c r="H28" s="22" t="s">
        <v>179</v>
      </c>
    </row>
    <row r="29" customFormat="false" ht="24" hidden="false" customHeight="true" outlineLevel="0" collapsed="false">
      <c r="B29" s="23" t="s">
        <v>180</v>
      </c>
      <c r="C29" s="35" t="n">
        <v>-400000</v>
      </c>
      <c r="D29" s="35" t="n">
        <v>-700000</v>
      </c>
      <c r="E29" s="35" t="n">
        <v>-1000000</v>
      </c>
      <c r="F29" s="35" t="n">
        <v>-1400000</v>
      </c>
      <c r="G29" s="35" t="n">
        <v>-1800000</v>
      </c>
      <c r="H29" s="27" t="s">
        <v>181</v>
      </c>
    </row>
    <row r="30" customFormat="false" ht="24" hidden="false" customHeight="true" outlineLevel="0" collapsed="false">
      <c r="B30" s="59" t="s">
        <v>182</v>
      </c>
      <c r="C30" s="61" t="n">
        <f aca="false">C24+C27+C28+C29</f>
        <v>-1574160</v>
      </c>
      <c r="D30" s="61" t="n">
        <f aca="false">D24+D27+D28+D29</f>
        <v>-3008921.6</v>
      </c>
      <c r="E30" s="61" t="n">
        <f aca="false">E24+E27+E28+E29</f>
        <v>-3988572.928</v>
      </c>
      <c r="F30" s="61" t="n">
        <f aca="false">F24+F27+F28+F29</f>
        <v>-4375318.82496</v>
      </c>
      <c r="G30" s="61" t="n">
        <f aca="false">G24+G27+G28+G29</f>
        <v>-3887491.5848192</v>
      </c>
      <c r="H30" s="67"/>
    </row>
    <row r="31" customFormat="false" ht="24" hidden="false" customHeight="true" outlineLevel="0" collapsed="false">
      <c r="B31" s="23" t="s">
        <v>183</v>
      </c>
      <c r="C31" s="69" t="n">
        <f aca="false">IFERROR(C30/C22,0)</f>
        <v>-12.298125</v>
      </c>
      <c r="D31" s="69" t="n">
        <f aca="false">IFERROR(D30/D22,0)</f>
        <v>-4.08111111111111</v>
      </c>
      <c r="E31" s="69" t="n">
        <f aca="false">IFERROR(E30/E22,0)</f>
        <v>-1.87932584676252</v>
      </c>
      <c r="F31" s="69" t="n">
        <f aca="false">IFERROR(F30/F22,0)</f>
        <v>-0.979357511359594</v>
      </c>
      <c r="G31" s="69" t="n">
        <f aca="false">IFERROR(G30/G22,0)</f>
        <v>-0.483417994118637</v>
      </c>
      <c r="H31" s="27" t="s">
        <v>184</v>
      </c>
    </row>
    <row r="32" customFormat="false" ht="15" hidden="false" customHeight="false" outlineLevel="0" collapsed="false">
      <c r="B32" s="16" t="s">
        <v>185</v>
      </c>
      <c r="C32" s="17"/>
      <c r="D32" s="17"/>
      <c r="E32" s="17"/>
      <c r="F32" s="17"/>
      <c r="G32" s="17"/>
      <c r="H32" s="17"/>
    </row>
    <row r="33" customFormat="false" ht="24" hidden="false" customHeight="true" outlineLevel="0" collapsed="false">
      <c r="B33" s="23" t="s">
        <v>186</v>
      </c>
      <c r="C33" s="36" t="n">
        <f aca="false">C30</f>
        <v>-1574160</v>
      </c>
      <c r="D33" s="36" t="n">
        <f aca="false">C33+D30</f>
        <v>-4583081.6</v>
      </c>
      <c r="E33" s="36" t="n">
        <f aca="false">D33+E30</f>
        <v>-8571654.528</v>
      </c>
      <c r="F33" s="36" t="n">
        <f aca="false">E33+F30</f>
        <v>-12946973.35296</v>
      </c>
      <c r="G33" s="36" t="n">
        <f aca="false">F33+G30</f>
        <v>-16834464.9377792</v>
      </c>
      <c r="H33" s="27" t="s">
        <v>187</v>
      </c>
    </row>
    <row r="34" customFormat="false" ht="24" hidden="false" customHeight="true" outlineLevel="0" collapsed="false">
      <c r="B34" s="18" t="s">
        <v>188</v>
      </c>
      <c r="C34" s="38" t="n">
        <f aca="false">-MIN($C33:C33)</f>
        <v>1574160</v>
      </c>
      <c r="D34" s="38" t="n">
        <f aca="false">-MIN($C33:D33)</f>
        <v>4583081.6</v>
      </c>
      <c r="E34" s="38" t="n">
        <f aca="false">-MIN($C33:E33)</f>
        <v>8571654.528</v>
      </c>
      <c r="F34" s="38" t="n">
        <f aca="false">-MIN($C33:F33)</f>
        <v>12946973.35296</v>
      </c>
      <c r="G34" s="38" t="n">
        <f aca="false">-MIN($C33:G33)</f>
        <v>16834464.9377792</v>
      </c>
      <c r="H34" s="22" t="s">
        <v>189</v>
      </c>
    </row>
    <row r="35" customFormat="false" ht="24" hidden="false" customHeight="true" outlineLevel="0" collapsed="false">
      <c r="B35" s="23" t="s">
        <v>190</v>
      </c>
      <c r="C35" s="70" t="n">
        <v>0</v>
      </c>
      <c r="D35" s="70" t="n">
        <f aca="false">IFERROR((D20-C20)/-C27,0)</f>
        <v>2.57368983957219</v>
      </c>
      <c r="E35" s="70" t="n">
        <f aca="false">IFERROR((E20-D20)/-D27,0)</f>
        <v>1.40776074766355</v>
      </c>
      <c r="F35" s="70" t="n">
        <f aca="false">IFERROR((F20-E20)/-E27,0)</f>
        <v>1.28468375044563</v>
      </c>
      <c r="G35" s="70" t="n">
        <f aca="false">IFERROR((G20-F20)/-F27,0)</f>
        <v>1.30841860083436</v>
      </c>
      <c r="H35" s="27" t="s">
        <v>191</v>
      </c>
    </row>
    <row r="36" customFormat="false" ht="24" hidden="false" customHeight="true" outlineLevel="0" collapsed="false">
      <c r="B36" s="18" t="s">
        <v>192</v>
      </c>
      <c r="C36" s="29" t="n">
        <v>9</v>
      </c>
      <c r="D36" s="29" t="n">
        <v>18</v>
      </c>
      <c r="E36" s="29" t="n">
        <v>30</v>
      </c>
      <c r="F36" s="29" t="n">
        <v>44</v>
      </c>
      <c r="G36" s="29" t="n">
        <v>60</v>
      </c>
      <c r="H36" s="22" t="s">
        <v>193</v>
      </c>
    </row>
    <row r="37" customFormat="false" ht="24" hidden="false" customHeight="true" outlineLevel="0" collapsed="false">
      <c r="B37" s="23" t="s">
        <v>194</v>
      </c>
      <c r="C37" s="36" t="n">
        <f aca="false">IFERROR(C20/C36,0)</f>
        <v>28444.4444444444</v>
      </c>
      <c r="D37" s="36" t="n">
        <f aca="false">IFERROR(D20/D36,0)</f>
        <v>67697.7777777778</v>
      </c>
      <c r="E37" s="36" t="n">
        <f aca="false">IFERROR(E20/E36,0)</f>
        <v>100870.826666667</v>
      </c>
      <c r="F37" s="36" t="n">
        <f aca="false">IFERROR(F20/F36,0)</f>
        <v>134294.434909091</v>
      </c>
      <c r="G37" s="36" t="n">
        <f aca="false">IFERROR(G20/G36,0)</f>
        <v>169573.329578667</v>
      </c>
      <c r="H37" s="27" t="s">
        <v>195</v>
      </c>
    </row>
    <row r="39" customFormat="false" ht="15" hidden="false" customHeight="true" outlineLevel="0" collapsed="false">
      <c r="B39" s="32" t="s">
        <v>196</v>
      </c>
      <c r="C39" s="32"/>
      <c r="D39" s="32"/>
      <c r="E39" s="32"/>
      <c r="F39" s="32"/>
      <c r="G39" s="32"/>
      <c r="H39" s="32"/>
    </row>
    <row r="40" customFormat="false" ht="15" hidden="false" customHeight="false" outlineLevel="0" collapsed="false">
      <c r="B40" s="32"/>
      <c r="C40" s="32"/>
      <c r="D40" s="32"/>
      <c r="E40" s="32"/>
      <c r="F40" s="32"/>
      <c r="G40" s="32"/>
      <c r="H40" s="32"/>
    </row>
  </sheetData>
  <mergeCells count="1">
    <mergeCell ref="B39: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8" min="3" style="0" width="14"/>
    <col collapsed="false" customWidth="true" hidden="false" outlineLevel="0" max="9" min="9" style="0" width="48"/>
  </cols>
  <sheetData>
    <row r="2" customFormat="false" ht="17.35" hidden="false" customHeight="false" outlineLevel="0" collapsed="false">
      <c r="B2" s="10" t="s">
        <v>197</v>
      </c>
    </row>
    <row r="3" customFormat="false" ht="15" hidden="false" customHeight="false" outlineLevel="0" collapsed="false">
      <c r="B3" s="11"/>
      <c r="C3" s="11"/>
      <c r="D3" s="11"/>
      <c r="E3" s="11"/>
      <c r="F3" s="11"/>
      <c r="G3" s="11"/>
      <c r="H3" s="11"/>
      <c r="I3" s="11"/>
    </row>
    <row r="4" customFormat="false" ht="15" hidden="false" customHeight="false" outlineLevel="0" collapsed="false">
      <c r="B4" s="12" t="s">
        <v>198</v>
      </c>
    </row>
    <row r="6" customFormat="false" ht="15" hidden="false" customHeight="false" outlineLevel="0" collapsed="false">
      <c r="B6" s="33" t="s">
        <v>199</v>
      </c>
    </row>
    <row r="7" customFormat="false" ht="27.75" hidden="false" customHeight="true" outlineLevel="0" collapsed="false">
      <c r="B7" s="15" t="s">
        <v>200</v>
      </c>
      <c r="C7" s="71" t="n">
        <v>20000</v>
      </c>
      <c r="D7" s="71" t="n">
        <v>24000</v>
      </c>
      <c r="E7" s="71" t="n">
        <v>28000</v>
      </c>
      <c r="F7" s="71" t="n">
        <v>32000</v>
      </c>
      <c r="G7" s="71" t="n">
        <v>36000</v>
      </c>
      <c r="H7" s="71" t="n">
        <v>40000</v>
      </c>
    </row>
    <row r="8" customFormat="false" ht="15" hidden="false" customHeight="false" outlineLevel="0" collapsed="false">
      <c r="B8" s="72" t="n">
        <v>1</v>
      </c>
      <c r="C8" s="73" t="n">
        <f aca="false">(Assumptions!$E$10*Assumptions!$E$20*(1/(1+Assumptions!$E$23)+$B8/(1+Assumptions!$E$23)^2+$B8^2/(1+Assumptions!$E$23)^3+$B8^3/(1+Assumptions!$E$23)^4+$B8^4/(1+Assumptions!$E$23)^5))/C$7</f>
        <v>4.49876070052657</v>
      </c>
      <c r="D8" s="73" t="n">
        <f aca="false">(Assumptions!$E$10*Assumptions!$E$20*(1/(1+Assumptions!$E$23)+$B8/(1+Assumptions!$E$23)^2+$B8^2/(1+Assumptions!$E$23)^3+$B8^3/(1+Assumptions!$E$23)^4+$B8^4/(1+Assumptions!$E$23)^5))/D$7</f>
        <v>3.7489672504388</v>
      </c>
      <c r="E8" s="73" t="n">
        <f aca="false">(Assumptions!$E$10*Assumptions!$E$20*(1/(1+Assumptions!$E$23)+$B8/(1+Assumptions!$E$23)^2+$B8^2/(1+Assumptions!$E$23)^3+$B8^3/(1+Assumptions!$E$23)^4+$B8^4/(1+Assumptions!$E$23)^5))/E$7</f>
        <v>3.21340050037612</v>
      </c>
      <c r="F8" s="74" t="n">
        <f aca="false">(Assumptions!$E$10*Assumptions!$E$20*(1/(1+Assumptions!$E$23)+$B8/(1+Assumptions!$E$23)^2+$B8^2/(1+Assumptions!$E$23)^3+$B8^3/(1+Assumptions!$E$23)^4+$B8^4/(1+Assumptions!$E$23)^5))/F$7</f>
        <v>2.8117254378291</v>
      </c>
      <c r="G8" s="74" t="n">
        <f aca="false">(Assumptions!$E$10*Assumptions!$E$20*(1/(1+Assumptions!$E$23)+$B8/(1+Assumptions!$E$23)^2+$B8^2/(1+Assumptions!$E$23)^3+$B8^3/(1+Assumptions!$E$23)^4+$B8^4/(1+Assumptions!$E$23)^5))/G$7</f>
        <v>2.49931150029254</v>
      </c>
      <c r="H8" s="74" t="n">
        <f aca="false">(Assumptions!$E$10*Assumptions!$E$20*(1/(1+Assumptions!$E$23)+$B8/(1+Assumptions!$E$23)^2+$B8^2/(1+Assumptions!$E$23)^3+$B8^3/(1+Assumptions!$E$23)^4+$B8^4/(1+Assumptions!$E$23)^5))/H$7</f>
        <v>2.24938035026328</v>
      </c>
    </row>
    <row r="9" customFormat="false" ht="15" hidden="false" customHeight="false" outlineLevel="0" collapsed="false">
      <c r="B9" s="72" t="n">
        <v>1.06</v>
      </c>
      <c r="C9" s="75" t="n">
        <f aca="false">(Assumptions!$E$10*Assumptions!$E$20*(1/(1+Assumptions!$E$23)+$B9/(1+Assumptions!$E$23)^2+$B9^2/(1+Assumptions!$E$23)^3+$B9^3/(1+Assumptions!$E$23)^4+$B9^4/(1+Assumptions!$E$23)^5))/C$7</f>
        <v>5.00562125981269</v>
      </c>
      <c r="D9" s="73" t="n">
        <f aca="false">(Assumptions!$E$10*Assumptions!$E$20*(1/(1+Assumptions!$E$23)+$B9/(1+Assumptions!$E$23)^2+$B9^2/(1+Assumptions!$E$23)^3+$B9^3/(1+Assumptions!$E$23)^4+$B9^4/(1+Assumptions!$E$23)^5))/D$7</f>
        <v>4.17135104984391</v>
      </c>
      <c r="E9" s="73" t="n">
        <f aca="false">(Assumptions!$E$10*Assumptions!$E$20*(1/(1+Assumptions!$E$23)+$B9/(1+Assumptions!$E$23)^2+$B9^2/(1+Assumptions!$E$23)^3+$B9^3/(1+Assumptions!$E$23)^4+$B9^4/(1+Assumptions!$E$23)^5))/E$7</f>
        <v>3.57544375700906</v>
      </c>
      <c r="F9" s="73" t="n">
        <f aca="false">(Assumptions!$E$10*Assumptions!$E$20*(1/(1+Assumptions!$E$23)+$B9/(1+Assumptions!$E$23)^2+$B9^2/(1+Assumptions!$E$23)^3+$B9^3/(1+Assumptions!$E$23)^4+$B9^4/(1+Assumptions!$E$23)^5))/F$7</f>
        <v>3.12851328738293</v>
      </c>
      <c r="G9" s="74" t="n">
        <f aca="false">(Assumptions!$E$10*Assumptions!$E$20*(1/(1+Assumptions!$E$23)+$B9/(1+Assumptions!$E$23)^2+$B9^2/(1+Assumptions!$E$23)^3+$B9^3/(1+Assumptions!$E$23)^4+$B9^4/(1+Assumptions!$E$23)^5))/G$7</f>
        <v>2.78090069989594</v>
      </c>
      <c r="H9" s="74" t="n">
        <f aca="false">(Assumptions!$E$10*Assumptions!$E$20*(1/(1+Assumptions!$E$23)+$B9/(1+Assumptions!$E$23)^2+$B9^2/(1+Assumptions!$E$23)^3+$B9^3/(1+Assumptions!$E$23)^4+$B9^4/(1+Assumptions!$E$23)^5))/H$7</f>
        <v>2.50281062990634</v>
      </c>
    </row>
    <row r="10" customFormat="false" ht="15" hidden="false" customHeight="false" outlineLevel="0" collapsed="false">
      <c r="B10" s="72" t="n">
        <v>1.12</v>
      </c>
      <c r="C10" s="75" t="n">
        <f aca="false">(Assumptions!$E$10*Assumptions!$E$20*(1/(1+Assumptions!$E$23)+$B10/(1+Assumptions!$E$23)^2+$B10^2/(1+Assumptions!$E$23)^3+$B10^3/(1+Assumptions!$E$23)^4+$B10^4/(1+Assumptions!$E$23)^5))/C$7</f>
        <v>5.57142857142857</v>
      </c>
      <c r="D10" s="75" t="n">
        <f aca="false">(Assumptions!$E$10*Assumptions!$E$20*(1/(1+Assumptions!$E$23)+$B10/(1+Assumptions!$E$23)^2+$B10^2/(1+Assumptions!$E$23)^3+$B10^3/(1+Assumptions!$E$23)^4+$B10^4/(1+Assumptions!$E$23)^5))/D$7</f>
        <v>4.64285714285714</v>
      </c>
      <c r="E10" s="76" t="n">
        <f aca="false">(Assumptions!$E$10*Assumptions!$E$20*(1/(1+Assumptions!$E$23)+$B10/(1+Assumptions!$E$23)^2+$B10^2/(1+Assumptions!$E$23)^3+$B10^3/(1+Assumptions!$E$23)^4+$B10^4/(1+Assumptions!$E$23)^5))/E$7</f>
        <v>3.97959183673469</v>
      </c>
      <c r="F10" s="73" t="n">
        <f aca="false">(Assumptions!$E$10*Assumptions!$E$20*(1/(1+Assumptions!$E$23)+$B10/(1+Assumptions!$E$23)^2+$B10^2/(1+Assumptions!$E$23)^3+$B10^3/(1+Assumptions!$E$23)^4+$B10^4/(1+Assumptions!$E$23)^5))/F$7</f>
        <v>3.48214285714286</v>
      </c>
      <c r="G10" s="73" t="n">
        <f aca="false">(Assumptions!$E$10*Assumptions!$E$20*(1/(1+Assumptions!$E$23)+$B10/(1+Assumptions!$E$23)^2+$B10^2/(1+Assumptions!$E$23)^3+$B10^3/(1+Assumptions!$E$23)^4+$B10^4/(1+Assumptions!$E$23)^5))/G$7</f>
        <v>3.09523809523809</v>
      </c>
      <c r="H10" s="74" t="n">
        <f aca="false">(Assumptions!$E$10*Assumptions!$E$20*(1/(1+Assumptions!$E$23)+$B10/(1+Assumptions!$E$23)^2+$B10^2/(1+Assumptions!$E$23)^3+$B10^3/(1+Assumptions!$E$23)^4+$B10^4/(1+Assumptions!$E$23)^5))/H$7</f>
        <v>2.78571428571429</v>
      </c>
    </row>
    <row r="11" customFormat="false" ht="15" hidden="false" customHeight="false" outlineLevel="0" collapsed="false">
      <c r="B11" s="72" t="n">
        <v>1.18</v>
      </c>
      <c r="C11" s="75" t="n">
        <f aca="false">(Assumptions!$E$10*Assumptions!$E$20*(1/(1+Assumptions!$E$23)+$B11/(1+Assumptions!$E$23)^2+$B11^2/(1+Assumptions!$E$23)^3+$B11^3/(1+Assumptions!$E$23)^4+$B11^4/(1+Assumptions!$E$23)^5))/C$7</f>
        <v>6.20121196420669</v>
      </c>
      <c r="D11" s="75" t="n">
        <f aca="false">(Assumptions!$E$10*Assumptions!$E$20*(1/(1+Assumptions!$E$23)+$B11/(1+Assumptions!$E$23)^2+$B11^2/(1+Assumptions!$E$23)^3+$B11^3/(1+Assumptions!$E$23)^4+$B11^4/(1+Assumptions!$E$23)^5))/D$7</f>
        <v>5.16767663683891</v>
      </c>
      <c r="E11" s="73" t="n">
        <f aca="false">(Assumptions!$E$10*Assumptions!$E$20*(1/(1+Assumptions!$E$23)+$B11/(1+Assumptions!$E$23)^2+$B11^2/(1+Assumptions!$E$23)^3+$B11^3/(1+Assumptions!$E$23)^4+$B11^4/(1+Assumptions!$E$23)^5))/E$7</f>
        <v>4.42943711729049</v>
      </c>
      <c r="F11" s="73" t="n">
        <f aca="false">(Assumptions!$E$10*Assumptions!$E$20*(1/(1+Assumptions!$E$23)+$B11/(1+Assumptions!$E$23)^2+$B11^2/(1+Assumptions!$E$23)^3+$B11^3/(1+Assumptions!$E$23)^4+$B11^4/(1+Assumptions!$E$23)^5))/F$7</f>
        <v>3.87575747762918</v>
      </c>
      <c r="G11" s="73" t="n">
        <f aca="false">(Assumptions!$E$10*Assumptions!$E$20*(1/(1+Assumptions!$E$23)+$B11/(1+Assumptions!$E$23)^2+$B11^2/(1+Assumptions!$E$23)^3+$B11^3/(1+Assumptions!$E$23)^4+$B11^4/(1+Assumptions!$E$23)^5))/G$7</f>
        <v>3.44511775789261</v>
      </c>
      <c r="H11" s="73" t="n">
        <f aca="false">(Assumptions!$E$10*Assumptions!$E$20*(1/(1+Assumptions!$E$23)+$B11/(1+Assumptions!$E$23)^2+$B11^2/(1+Assumptions!$E$23)^3+$B11^3/(1+Assumptions!$E$23)^4+$B11^4/(1+Assumptions!$E$23)^5))/H$7</f>
        <v>3.10060598210334</v>
      </c>
    </row>
    <row r="12" customFormat="false" ht="15" hidden="false" customHeight="false" outlineLevel="0" collapsed="false">
      <c r="B12" s="72" t="n">
        <v>1.24</v>
      </c>
      <c r="C12" s="75" t="n">
        <f aca="false">(Assumptions!$E$10*Assumptions!$E$20*(1/(1+Assumptions!$E$23)+$B12/(1+Assumptions!$E$23)^2+$B12^2/(1+Assumptions!$E$23)^3+$B12^3/(1+Assumptions!$E$23)^4+$B12^4/(1+Assumptions!$E$23)^5))/C$7</f>
        <v>6.90022102955614</v>
      </c>
      <c r="D12" s="75" t="n">
        <f aca="false">(Assumptions!$E$10*Assumptions!$E$20*(1/(1+Assumptions!$E$23)+$B12/(1+Assumptions!$E$23)^2+$B12^2/(1+Assumptions!$E$23)^3+$B12^3/(1+Assumptions!$E$23)^4+$B12^4/(1+Assumptions!$E$23)^5))/D$7</f>
        <v>5.75018419129678</v>
      </c>
      <c r="E12" s="75" t="n">
        <f aca="false">(Assumptions!$E$10*Assumptions!$E$20*(1/(1+Assumptions!$E$23)+$B12/(1+Assumptions!$E$23)^2+$B12^2/(1+Assumptions!$E$23)^3+$B12^3/(1+Assumptions!$E$23)^4+$B12^4/(1+Assumptions!$E$23)^5))/E$7</f>
        <v>4.92872930682581</v>
      </c>
      <c r="F12" s="73" t="n">
        <f aca="false">(Assumptions!$E$10*Assumptions!$E$20*(1/(1+Assumptions!$E$23)+$B12/(1+Assumptions!$E$23)^2+$B12^2/(1+Assumptions!$E$23)^3+$B12^3/(1+Assumptions!$E$23)^4+$B12^4/(1+Assumptions!$E$23)^5))/F$7</f>
        <v>4.31263814347259</v>
      </c>
      <c r="G12" s="73" t="n">
        <f aca="false">(Assumptions!$E$10*Assumptions!$E$20*(1/(1+Assumptions!$E$23)+$B12/(1+Assumptions!$E$23)^2+$B12^2/(1+Assumptions!$E$23)^3+$B12^3/(1+Assumptions!$E$23)^4+$B12^4/(1+Assumptions!$E$23)^5))/G$7</f>
        <v>3.83345612753119</v>
      </c>
      <c r="H12" s="73" t="n">
        <f aca="false">(Assumptions!$E$10*Assumptions!$E$20*(1/(1+Assumptions!$E$23)+$B12/(1+Assumptions!$E$23)^2+$B12^2/(1+Assumptions!$E$23)^3+$B12^3/(1+Assumptions!$E$23)^4+$B12^4/(1+Assumptions!$E$23)^5))/H$7</f>
        <v>3.45011051477807</v>
      </c>
    </row>
    <row r="14" customFormat="false" ht="15" hidden="false" customHeight="true" outlineLevel="0" collapsed="false">
      <c r="B14" s="77" t="s">
        <v>201</v>
      </c>
      <c r="C14" s="77"/>
      <c r="D14" s="77"/>
      <c r="E14" s="77"/>
      <c r="F14" s="77"/>
      <c r="G14" s="77"/>
      <c r="H14" s="77"/>
      <c r="I14" s="77"/>
    </row>
    <row r="15" customFormat="false" ht="15" hidden="false" customHeight="false" outlineLevel="0" collapsed="false">
      <c r="B15" s="77"/>
      <c r="C15" s="77"/>
      <c r="D15" s="77"/>
      <c r="E15" s="77"/>
      <c r="F15" s="77"/>
      <c r="G15" s="77"/>
      <c r="H15" s="77"/>
      <c r="I15" s="77"/>
    </row>
    <row r="18" customFormat="false" ht="15" hidden="false" customHeight="false" outlineLevel="0" collapsed="false">
      <c r="B18" s="33" t="s">
        <v>202</v>
      </c>
    </row>
    <row r="19" customFormat="false" ht="27.75" hidden="false" customHeight="true" outlineLevel="0" collapsed="false">
      <c r="B19" s="15" t="s">
        <v>203</v>
      </c>
      <c r="C19" s="71" t="n">
        <v>28000</v>
      </c>
      <c r="D19" s="71" t="n">
        <v>32000</v>
      </c>
      <c r="E19" s="71" t="n">
        <v>36000</v>
      </c>
      <c r="F19" s="71" t="n">
        <v>40000</v>
      </c>
      <c r="G19" s="71" t="n">
        <v>44000</v>
      </c>
    </row>
    <row r="20" customFormat="false" ht="15" hidden="false" customHeight="false" outlineLevel="0" collapsed="false">
      <c r="B20" s="78" t="n">
        <v>150</v>
      </c>
      <c r="C20" s="79" t="n">
        <f aca="false">$B20*C$19</f>
        <v>4200000</v>
      </c>
      <c r="D20" s="79" t="n">
        <f aca="false">$B20*D$19</f>
        <v>4800000</v>
      </c>
      <c r="E20" s="38" t="n">
        <f aca="false">$B20*E$19</f>
        <v>5400000</v>
      </c>
      <c r="F20" s="38" t="n">
        <f aca="false">$B20*F$19</f>
        <v>6000000</v>
      </c>
      <c r="G20" s="38" t="n">
        <f aca="false">$B20*G$19</f>
        <v>6600000</v>
      </c>
    </row>
    <row r="21" customFormat="false" ht="15" hidden="false" customHeight="false" outlineLevel="0" collapsed="false">
      <c r="B21" s="78" t="n">
        <v>185</v>
      </c>
      <c r="C21" s="38" t="n">
        <f aca="false">$B21*C$19</f>
        <v>5180000</v>
      </c>
      <c r="D21" s="38" t="n">
        <f aca="false">$B21*D$19</f>
        <v>5920000</v>
      </c>
      <c r="E21" s="38" t="n">
        <f aca="false">$B21*E$19</f>
        <v>6660000</v>
      </c>
      <c r="F21" s="38" t="n">
        <f aca="false">$B21*F$19</f>
        <v>7400000</v>
      </c>
      <c r="G21" s="38" t="n">
        <f aca="false">$B21*G$19</f>
        <v>8140000</v>
      </c>
    </row>
    <row r="22" customFormat="false" ht="15" hidden="false" customHeight="false" outlineLevel="0" collapsed="false">
      <c r="B22" s="78" t="n">
        <v>220</v>
      </c>
      <c r="C22" s="38" t="n">
        <f aca="false">$B22*C$19</f>
        <v>6160000</v>
      </c>
      <c r="D22" s="38" t="n">
        <f aca="false">$B22*D$19</f>
        <v>7040000</v>
      </c>
      <c r="E22" s="80" t="n">
        <f aca="false">$B22*E$19</f>
        <v>7920000</v>
      </c>
      <c r="F22" s="38" t="n">
        <f aca="false">$B22*F$19</f>
        <v>8800000</v>
      </c>
      <c r="G22" s="81" t="n">
        <f aca="false">$B22*G$19</f>
        <v>9680000</v>
      </c>
    </row>
    <row r="23" customFormat="false" ht="15" hidden="false" customHeight="false" outlineLevel="0" collapsed="false">
      <c r="B23" s="78" t="n">
        <v>255</v>
      </c>
      <c r="C23" s="38" t="n">
        <f aca="false">$B23*C$19</f>
        <v>7140000</v>
      </c>
      <c r="D23" s="38" t="n">
        <f aca="false">$B23*D$19</f>
        <v>8160000</v>
      </c>
      <c r="E23" s="81" t="n">
        <f aca="false">$B23*E$19</f>
        <v>9180000</v>
      </c>
      <c r="F23" s="81" t="n">
        <f aca="false">$B23*F$19</f>
        <v>10200000</v>
      </c>
      <c r="G23" s="81" t="n">
        <f aca="false">$B23*G$19</f>
        <v>11220000</v>
      </c>
    </row>
    <row r="24" customFormat="false" ht="15" hidden="false" customHeight="false" outlineLevel="0" collapsed="false">
      <c r="B24" s="78" t="n">
        <v>290</v>
      </c>
      <c r="C24" s="38" t="n">
        <f aca="false">$B24*C$19</f>
        <v>8120000</v>
      </c>
      <c r="D24" s="81" t="n">
        <f aca="false">$B24*D$19</f>
        <v>9280000</v>
      </c>
      <c r="E24" s="81" t="n">
        <f aca="false">$B24*E$19</f>
        <v>10440000</v>
      </c>
      <c r="F24" s="81" t="n">
        <f aca="false">$B24*F$19</f>
        <v>11600000</v>
      </c>
      <c r="G24" s="81" t="n">
        <f aca="false">$B24*G$19</f>
        <v>12760000</v>
      </c>
    </row>
    <row r="26" customFormat="false" ht="15" hidden="false" customHeight="true" outlineLevel="0" collapsed="false">
      <c r="B26" s="32" t="s">
        <v>204</v>
      </c>
      <c r="C26" s="32"/>
      <c r="D26" s="32"/>
      <c r="E26" s="32"/>
      <c r="F26" s="32"/>
      <c r="G26" s="32"/>
      <c r="H26" s="32"/>
      <c r="I26" s="32"/>
    </row>
    <row r="27" customFormat="false" ht="15" hidden="false" customHeight="false" outlineLevel="0" collapsed="false">
      <c r="B27" s="32"/>
      <c r="C27" s="32"/>
      <c r="D27" s="32"/>
      <c r="E27" s="32"/>
      <c r="F27" s="32"/>
      <c r="G27" s="32"/>
      <c r="H27" s="32"/>
      <c r="I27" s="32"/>
    </row>
    <row r="28" customFormat="false" ht="15" hidden="false" customHeight="false" outlineLevel="0" collapsed="false">
      <c r="B28" s="32"/>
      <c r="C28" s="32"/>
      <c r="D28" s="32"/>
      <c r="E28" s="32"/>
      <c r="F28" s="32"/>
      <c r="G28" s="32"/>
      <c r="H28" s="32"/>
      <c r="I28" s="32"/>
    </row>
  </sheetData>
  <mergeCells count="2">
    <mergeCell ref="B14:I15"/>
    <mergeCell ref="B26: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20"/>
    <col collapsed="false" customWidth="true" hidden="false" outlineLevel="0" max="4" min="4" style="0" width="44"/>
    <col collapsed="false" customWidth="true" hidden="false" outlineLevel="0" max="6" min="5" style="0" width="13"/>
    <col collapsed="false" customWidth="true" hidden="false" outlineLevel="0" max="7" min="7" style="0" width="46"/>
  </cols>
  <sheetData>
    <row r="2" customFormat="false" ht="17.35" hidden="false" customHeight="false" outlineLevel="0" collapsed="false">
      <c r="B2" s="10" t="s">
        <v>205</v>
      </c>
    </row>
    <row r="3" customFormat="false" ht="15" hidden="false" customHeight="false" outlineLevel="0" collapsed="false">
      <c r="B3" s="11"/>
      <c r="C3" s="11"/>
      <c r="D3" s="11"/>
      <c r="E3" s="11"/>
      <c r="F3" s="11"/>
      <c r="G3" s="11"/>
    </row>
    <row r="4" customFormat="false" ht="15" hidden="false" customHeight="false" outlineLevel="0" collapsed="false">
      <c r="B4" s="12" t="s">
        <v>206</v>
      </c>
    </row>
    <row r="6" customFormat="false" ht="27.75" hidden="false" customHeight="true" outlineLevel="0" collapsed="false">
      <c r="B6" s="15" t="s">
        <v>207</v>
      </c>
      <c r="C6" s="15" t="s">
        <v>208</v>
      </c>
      <c r="D6" s="15" t="s">
        <v>209</v>
      </c>
      <c r="E6" s="15" t="s">
        <v>210</v>
      </c>
      <c r="F6" s="15" t="s">
        <v>211</v>
      </c>
      <c r="G6" s="15" t="s">
        <v>212</v>
      </c>
    </row>
    <row r="7" customFormat="false" ht="57.75" hidden="false" customHeight="true" outlineLevel="0" collapsed="false">
      <c r="B7" s="82" t="s">
        <v>213</v>
      </c>
      <c r="C7" s="83" t="s">
        <v>214</v>
      </c>
      <c r="D7" s="83" t="s">
        <v>215</v>
      </c>
      <c r="E7" s="84" t="s">
        <v>216</v>
      </c>
      <c r="F7" s="85" t="s">
        <v>217</v>
      </c>
      <c r="G7" s="83" t="s">
        <v>218</v>
      </c>
    </row>
    <row r="8" customFormat="false" ht="57.75" hidden="false" customHeight="true" outlineLevel="0" collapsed="false">
      <c r="B8" s="86" t="s">
        <v>219</v>
      </c>
      <c r="C8" s="87" t="s">
        <v>220</v>
      </c>
      <c r="D8" s="87" t="s">
        <v>221</v>
      </c>
      <c r="E8" s="88" t="s">
        <v>222</v>
      </c>
      <c r="F8" s="85" t="s">
        <v>217</v>
      </c>
      <c r="G8" s="87" t="s">
        <v>223</v>
      </c>
    </row>
    <row r="9" customFormat="false" ht="57.75" hidden="false" customHeight="true" outlineLevel="0" collapsed="false">
      <c r="B9" s="82" t="s">
        <v>224</v>
      </c>
      <c r="C9" s="83" t="s">
        <v>225</v>
      </c>
      <c r="D9" s="83" t="s">
        <v>226</v>
      </c>
      <c r="E9" s="88" t="s">
        <v>222</v>
      </c>
      <c r="F9" s="84" t="s">
        <v>216</v>
      </c>
      <c r="G9" s="83" t="s">
        <v>227</v>
      </c>
    </row>
    <row r="10" customFormat="false" ht="57.75" hidden="false" customHeight="true" outlineLevel="0" collapsed="false">
      <c r="B10" s="86" t="s">
        <v>228</v>
      </c>
      <c r="C10" s="87" t="s">
        <v>229</v>
      </c>
      <c r="D10" s="87" t="s">
        <v>230</v>
      </c>
      <c r="E10" s="88" t="s">
        <v>222</v>
      </c>
      <c r="F10" s="84" t="s">
        <v>216</v>
      </c>
      <c r="G10" s="87" t="s">
        <v>231</v>
      </c>
    </row>
    <row r="11" customFormat="false" ht="57.75" hidden="false" customHeight="true" outlineLevel="0" collapsed="false">
      <c r="B11" s="82" t="s">
        <v>232</v>
      </c>
      <c r="C11" s="83" t="s">
        <v>233</v>
      </c>
      <c r="D11" s="83" t="s">
        <v>234</v>
      </c>
      <c r="E11" s="85" t="s">
        <v>217</v>
      </c>
      <c r="F11" s="88" t="s">
        <v>222</v>
      </c>
      <c r="G11" s="83" t="s">
        <v>235</v>
      </c>
    </row>
    <row r="12" customFormat="false" ht="57.75" hidden="false" customHeight="true" outlineLevel="0" collapsed="false">
      <c r="B12" s="86" t="s">
        <v>236</v>
      </c>
      <c r="C12" s="87" t="s">
        <v>237</v>
      </c>
      <c r="D12" s="87" t="s">
        <v>238</v>
      </c>
      <c r="E12" s="85" t="s">
        <v>217</v>
      </c>
      <c r="F12" s="88" t="s">
        <v>222</v>
      </c>
      <c r="G12" s="87" t="s">
        <v>239</v>
      </c>
    </row>
    <row r="13" customFormat="false" ht="57.75" hidden="false" customHeight="true" outlineLevel="0" collapsed="false">
      <c r="B13" s="82" t="s">
        <v>240</v>
      </c>
      <c r="C13" s="83" t="s">
        <v>241</v>
      </c>
      <c r="D13" s="83" t="s">
        <v>242</v>
      </c>
      <c r="E13" s="88" t="s">
        <v>222</v>
      </c>
      <c r="F13" s="84" t="s">
        <v>216</v>
      </c>
      <c r="G13" s="83" t="s">
        <v>243</v>
      </c>
    </row>
    <row r="14" customFormat="false" ht="57.75" hidden="false" customHeight="true" outlineLevel="0" collapsed="false">
      <c r="B14" s="86" t="s">
        <v>244</v>
      </c>
      <c r="C14" s="87" t="s">
        <v>245</v>
      </c>
      <c r="D14" s="87" t="s">
        <v>246</v>
      </c>
      <c r="E14" s="85" t="s">
        <v>217</v>
      </c>
      <c r="F14" s="88" t="s">
        <v>222</v>
      </c>
      <c r="G14" s="87" t="s">
        <v>247</v>
      </c>
    </row>
    <row r="15" customFormat="false" ht="57.75" hidden="false" customHeight="true" outlineLevel="0" collapsed="false">
      <c r="B15" s="82" t="s">
        <v>248</v>
      </c>
      <c r="C15" s="83" t="s">
        <v>249</v>
      </c>
      <c r="D15" s="83" t="s">
        <v>250</v>
      </c>
      <c r="E15" s="84" t="s">
        <v>216</v>
      </c>
      <c r="F15" s="88" t="s">
        <v>222</v>
      </c>
      <c r="G15" s="83" t="s">
        <v>251</v>
      </c>
    </row>
    <row r="17" customFormat="false" ht="15" hidden="false" customHeight="false" outlineLevel="0" collapsed="false">
      <c r="B17" s="7" t="s">
        <v>252</v>
      </c>
      <c r="C17" s="1"/>
      <c r="D17" s="1"/>
      <c r="E17" s="1"/>
      <c r="F17" s="1"/>
      <c r="G17" s="1"/>
    </row>
    <row r="18" customFormat="false" ht="15" hidden="false" customHeight="true" outlineLevel="0" collapsed="false">
      <c r="B18" s="52" t="s">
        <v>253</v>
      </c>
      <c r="C18" s="52"/>
      <c r="D18" s="52"/>
      <c r="E18" s="52"/>
      <c r="F18" s="52"/>
      <c r="G18" s="52"/>
    </row>
    <row r="19" customFormat="false" ht="15" hidden="false" customHeight="false" outlineLevel="0" collapsed="false">
      <c r="B19" s="52"/>
      <c r="C19" s="52"/>
      <c r="D19" s="52"/>
      <c r="E19" s="52"/>
      <c r="F19" s="52"/>
      <c r="G19" s="52"/>
    </row>
    <row r="20" customFormat="false" ht="15" hidden="false" customHeight="false" outlineLevel="0" collapsed="false">
      <c r="B20" s="52"/>
      <c r="C20" s="52"/>
      <c r="D20" s="52"/>
      <c r="E20" s="52"/>
      <c r="F20" s="52"/>
      <c r="G20" s="52"/>
    </row>
    <row r="21" customFormat="false" ht="15" hidden="false" customHeight="false" outlineLevel="0" collapsed="false">
      <c r="B21" s="52"/>
      <c r="C21" s="52"/>
      <c r="D21" s="52"/>
      <c r="E21" s="52"/>
      <c r="F21" s="52"/>
      <c r="G21" s="52"/>
    </row>
    <row r="22" customFormat="false" ht="15" hidden="false" customHeight="false" outlineLevel="0" collapsed="false">
      <c r="B22" s="52"/>
      <c r="C22" s="52"/>
      <c r="D22" s="52"/>
      <c r="E22" s="52"/>
      <c r="F22" s="52"/>
      <c r="G22" s="52"/>
    </row>
    <row r="24" customFormat="false" ht="15" hidden="false" customHeight="true" outlineLevel="0" collapsed="false">
      <c r="B24" s="32" t="s">
        <v>254</v>
      </c>
      <c r="C24" s="32"/>
      <c r="D24" s="32"/>
      <c r="E24" s="32"/>
      <c r="F24" s="32"/>
      <c r="G24" s="32"/>
    </row>
    <row r="25" customFormat="false" ht="15" hidden="false" customHeight="false" outlineLevel="0" collapsed="false">
      <c r="B25" s="32"/>
      <c r="C25" s="32"/>
      <c r="D25" s="32"/>
      <c r="E25" s="32"/>
      <c r="F25" s="32"/>
      <c r="G25" s="32"/>
    </row>
  </sheetData>
  <mergeCells count="2">
    <mergeCell ref="B18:G22"/>
    <mergeCell ref="B24: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2026-09-10T13:46:05Z</dcterms:created>
  <dc:creator>openpyxl</dc:creator>
  <dc:description/>
  <dc:language>en-US</dc:language>
  <cp:lastModifiedBy/>
  <dcterms:modified xsi:type="dcterms:W3CDTF">2026-09-10T13:46:05Z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