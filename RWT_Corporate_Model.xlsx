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Assumptions" sheetId="1" r:id="rId1"/>
    <sheet name="Portfolio" sheetId="2" r:id="rId2"/>
    <sheet name="Income Statement" sheetId="3" r:id="rId3"/>
    <sheet name="Book Value" sheetId="4" r:id="rId4"/>
    <sheet name="DCF Valuation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main:worksheet xmlns:main="http://schemas.openxmlformats.org/spreadsheetml/2006/main">
  <main:sheetData>
    <main:row r="1">
      <main:c r="A1" t="s">
        <main:v>ASSUMPTIONS</main:v>
      </main:c>
    </main:row>
    <main:row r="2"/>
    <main:row r="3">
      <main:c r="A3" t="s">
        <main:v>MACROECONOMIC</main:v>
      </main:c>
    </main:row>
    <main:row r="4">
      <main:c r="A4" t="s">
        <main:v>Base 10Y Yield (%) - 2026</main:v>
      </main:c>
      <main:c r="B4" t="n">
        <main:v>0.0425</main:v>
      </main:c>
    </main:row>
    <main:row r="5">
      <main:c r="A5" t="s">
        <main:v>Base 10Y Yield (%) - 2027</main:v>
      </main:c>
      <main:c r="B5" t="n">
        <main:v>0.04</main:v>
      </main:c>
    </main:row>
    <main:row r="6">
      <main:c r="A6" t="s">
        <main:v>Base 10Y Yield (%) - 2028+</main:v>
      </main:c>
      <main:c r="B6" t="n">
        <main:v>0.0375</main:v>
      </main:c>
    </main:row>
    <main:row r="7">
      <main:c r="A7" t="s">
        <main:v>Fed Funds Rate - 2026 Avg (%)</main:v>
      </main:c>
      <main:c r="B7" t="n">
        <main:v>0.045</main:v>
      </main:c>
    </main:row>
    <main:row r="8">
      <main:c r="A8" t="s">
        <main:v>Inflation Assumption (%)</main:v>
      </main:c>
      <main:c r="B8" t="n">
        <main:v>0.025</main:v>
      </main:c>
    </main:row>
    <main:row r="9"/>
    <main:row r="10">
      <main:c r="A10" t="s">
        <main:v>PORTFOLIO &amp; PREPAYMENT</main:v>
      </main:c>
    </main:row>
    <main:row r="11">
      <main:c r="A11" t="s">
        <main:v>Agency MBS % of Portfolio</main:v>
      </main:c>
      <main:c r="B11" t="n">
        <main:v>0.6</main:v>
      </main:c>
    </main:row>
    <main:row r="12">
      <main:c r="A12" t="s">
        <main:v>Non-Agency MBS % of Portfolio</main:v>
      </main:c>
      <main:c r="B12" t="n">
        <main:v>0.4</main:v>
      </main:c>
    </main:row>
    <main:row r="13">
      <main:c r="A13" t="s">
        <main:v>Weighted Avg Coupon (%)</main:v>
      </main:c>
      <main:c r="B13" t="n">
        <main:v>0.0375</main:v>
      </main:c>
    </main:row>
    <main:row r="14">
      <main:c r="A14" t="s">
        <main:v>CPR Assumption - Base (%)</main:v>
      </main:c>
      <main:c r="B14" t="n">
        <main:v>0.2</main:v>
      </main:c>
    </main:row>
    <main:row r="15">
      <main:c r="A15" t="s">
        <main:v>CPR Assumption - Bull Case (%)</main:v>
      </main:c>
      <main:c r="B15" t="n">
        <main:v>0.35</main:v>
      </main:c>
    </main:row>
    <main:row r="16">
      <main:c r="A16" t="s">
        <main:v>CPR Assumption - Bear Case (%)</main:v>
      </main:c>
      <main:c r="B16" t="n">
        <main:v>0.12</main:v>
      </main:c>
    </main:row>
    <main:row r="17"/>
    <main:row r="18">
      <main:c r="A18" t="s">
        <main:v>FINANCIAL METRICS</main:v>
      </main:c>
    </main:row>
    <main:row r="19">
      <main:c r="A19" t="s">
        <main:v>Debt / Equity Ratio Target</main:v>
      </main:c>
      <main:c r="B19" t="n">
        <main:v>7.5</main:v>
      </main:c>
    </main:row>
    <main:row r="20">
      <main:c r="A20" t="s">
        <main:v>Cost of Debt (%)</main:v>
      </main:c>
      <main:c r="B20" t="n">
        <main:v>0.0525</main:v>
      </main:c>
    </main:row>
    <main:row r="21">
      <main:c r="A21" t="s">
        <main:v>Hedging Ratio (%)</main:v>
      </main:c>
      <main:c r="B21" t="n">
        <main:v>0.75</main:v>
      </main:c>
    </main:row>
    <main:row r="22">
      <main:c r="A22" t="s">
        <main:v>Operating Expense Ratio (bps)</main:v>
      </main:c>
      <main:c r="B22" t="n">
        <main:v>25</main:v>
      </main:c>
    </main:row>
    <main:row r="23">
      <main:c r="A23" t="s">
        <main:v>Tax Rate (%)</main:v>
      </main:c>
      <main:c r="B23" t="n">
        <main:v>0.0</main:v>
      </main:c>
    </main:row>
    <main:row r="24"/>
    <main:row r="25">
      <main:c r="A25" t="s">
        <main:v>VALUATION</main:v>
      </main:c>
    </main:row>
    <main:row r="26">
      <main:c r="A26" t="s">
        <main:v>Cost of Equity (Discount Rate %)</main:v>
      </main:c>
      <main:c r="B26" t="n">
        <main:v>0.095</main:v>
      </main:c>
    </main:row>
    <main:row r="27">
      <main:c r="A27" t="s">
        <main:v>Terminal Growth Rate (%)</main:v>
      </main:c>
      <main:c r="B27" t="n">
        <main:v>0.025</main:v>
      </main:c>
    </main:row>
    <main:row r="28">
      <main:c r="A28" t="s">
        <main:v>Dividend Payout Ratio (%)</main:v>
      </main:c>
      <main:c r="B28" t="n">
        <main:v>0.9</main:v>
      </main:c>
    </main:row>
  </main:sheetData>
</main:worksheet>
</file>

<file path=xl/worksheets/sheet2.xml><?xml version="1.0" encoding="utf-8"?>
<main:worksheet xmlns:main="http://schemas.openxmlformats.org/spreadsheetml/2006/main">
  <main:sheetData>
    <main:row r="1">
      <main:c r="A1" t="s">
        <main:v>PORTFOLIO COMPOSITION</main:v>
      </main:c>
    </main:row>
    <main:row r="2"/>
    <main:row r="3">
      <main:c r="A3" t="s">
        <main:v>Asset Type</main:v>
      </main:c>
      <main:c r="B3" t="s">
        <main:v>Avg Balance ($mm)</main:v>
      </main:c>
      <main:c r="C3" t="s">
        <main:v>Coupon (%)</main:v>
      </main:c>
      <main:c r="D3" t="s">
        <main:v>Duration</main:v>
      </main:c>
      <main:c r="E3" t="s">
        <main:v>Yield (%)</main:v>
      </main:c>
      <main:c r="F3" t="s">
        <main:v>NII ($mm)</main:v>
      </main:c>
    </main:row>
    <main:row r="4">
      <main:c r="A4" t="s">
        <main:v>Agency MBS</main:v>
      </main:c>
      <main:c r="B4" t="n">
        <main:f>=Assumptions!$B$11*2500</main:f>
      </main:c>
      <main:c r="C4" t="n">
        <main:f>=Assumptions!$B$13</main:f>
      </main:c>
      <main:c r="D4" t="n">
        <main:v>3.5</main:v>
      </main:c>
      <main:c r="E4" t="n">
        <main:f>=Assumptions!$B$13+0.15</main:f>
      </main:c>
      <main:c r="F4" t="n">
        <main:f>=B4*E4</main:f>
      </main:c>
    </main:row>
    <main:row r="5">
      <main:c r="A5" t="s">
        <main:v>Non-Agency MBS</main:v>
      </main:c>
      <main:c r="B5" t="n">
        <main:f>=Assumptions!$B$12*2500</main:f>
      </main:c>
      <main:c r="C5" t="n">
        <main:f>=Assumptions!$B$13+0.50</main:f>
      </main:c>
      <main:c r="D5" t="n">
        <main:v>4.0</main:v>
      </main:c>
      <main:c r="E5" t="n">
        <main:f>=Assumptions!$B$13+0.80</main:f>
      </main:c>
      <main:c r="F5" t="n">
        <main:f>=B5*E5</main:f>
      </main:c>
    </main:row>
    <main:row r="6"/>
    <main:row r="7">
      <main:c r="A7" t="s">
        <main:v>TOTAL PORTFOLIO</main:v>
      </main:c>
      <main:c r="B7" t="n">
        <main:f>=SUM(B4:B5)</main:f>
      </main:c>
      <main:c r="E7" t="n">
        <main:f>=SUMPRODUCT(B4:B5,E4:E5)/B7</main:f>
      </main:c>
      <main:c r="F7" t="n">
        <main:f>=SUM(F4:F5)</main:f>
      </main:c>
    </main:row>
  </main:sheetData>
</main:worksheet>
</file>

<file path=xl/worksheets/sheet3.xml><?xml version="1.0" encoding="utf-8"?>
<main:worksheet xmlns:main="http://schemas.openxmlformats.org/spreadsheetml/2006/main">
  <main:sheetData>
    <main:row r="1">
      <main:c r="A1" t="s">
        <main:v>CONSOLIDATED STATEMENTS OF OPERATIONS</main:v>
      </main:c>
    </main:row>
    <main:row r="2">
      <main:c r="B2" t="s">
        <main:v>2024A</main:v>
      </main:c>
      <main:c r="C2" t="s">
        <main:v>2025E</main:v>
      </main:c>
      <main:c r="D2" t="s">
        <main:v>2026E</main:v>
      </main:c>
      <main:c r="E2" t="s">
        <main:v>2027E</main:v>
      </main:c>
    </main:row>
    <main:row r="3">
      <main:c r="A3" t="s">
        <main:v>Net Interest Income ($mm)</main:v>
      </main:c>
      <main:c r="B3" t="s">
        <main:v>185</main:v>
      </main:c>
      <main:c r="C3" t="s">
        <main:v>195</main:v>
      </main:c>
      <main:c r="D3" t="s">
        <main:v>210</main:v>
      </main:c>
      <main:c r="E3" t="s">
        <main:v>225</main:v>
      </main:c>
    </main:row>
    <main:row r="4">
      <main:c r="A4" t="s">
        <main:v>Operating Expenses ($mm)</main:v>
      </main:c>
      <main:c r="B4" t="s">
        <main:v>(5)</main:v>
      </main:c>
      <main:c r="C4" t="s">
        <main:v>(5)</main:v>
      </main:c>
      <main:c r="D4" t="s">
        <main:v>(5)</main:v>
      </main:c>
      <main:c r="E4" t="s">
        <main:v>(6)</main:v>
      </main:c>
    </main:row>
    <main:row r="5">
      <main:c r="A5" t="s">
        <main:v>Provision for Loan Losses ($mm)</main:v>
      </main:c>
      <main:c r="B5" t="s">
        <main:v>(3)</main:v>
      </main:c>
      <main:c r="C5" t="s">
        <main:v>(3)</main:v>
      </main:c>
      <main:c r="D5" t="s">
        <main:v>(3)</main:v>
      </main:c>
      <main:c r="E5" t="s">
        <main:v>(3)</main:v>
      </main:c>
    </main:row>
    <main:row r="6"/>
    <main:row r="7">
      <main:c r="A7" t="s">
        <main:v>Operating Income</main:v>
      </main:c>
      <main:c r="B7" t="n">
        <main:f>=B3-B4-B5</main:f>
      </main:c>
      <main:c r="C7" t="n">
        <main:f>=C3-C4-C5</main:f>
      </main:c>
      <main:c r="D7" t="n">
        <main:f>=D3-D4-D5</main:f>
      </main:c>
      <main:c r="E7" t="n">
        <main:f>=E3-E4-E5</main:f>
      </main:c>
    </main:row>
    <main:row r="8">
      <main:c r="A8" t="s">
        <main:v>Gains on Securities ($mm)</main:v>
      </main:c>
      <main:c r="B8" t="n">
        <main:v>2</main:v>
      </main:c>
      <main:c r="C8" t="n">
        <main:v>2</main:v>
      </main:c>
      <main:c r="D8" t="n">
        <main:v>3</main:v>
      </main:c>
      <main:c r="E8" t="n">
        <main:v>2</main:v>
      </main:c>
    </main:row>
    <main:row r="9">
      <main:c r="A9" t="s">
        <main:v>Other Income ($mm)</main:v>
      </main:c>
      <main:c r="B9" t="n">
        <main:v>1</main:v>
      </main:c>
      <main:c r="C9" t="n">
        <main:v>1</main:v>
      </main:c>
      <main:c r="D9" t="n">
        <main:v>1</main:v>
      </main:c>
      <main:c r="E9" t="n">
        <main:v>1</main:v>
      </main:c>
    </main:row>
    <main:row r="10"/>
    <main:row r="11">
      <main:c r="A11" t="s">
        <main:v>PRETAX INCOME</main:v>
      </main:c>
      <main:c r="B11" t="n">
        <main:f>=B7+B8+B9</main:f>
      </main:c>
      <main:c r="C11" t="n">
        <main:f>=C7+C8+C9</main:f>
      </main:c>
      <main:c r="D11" t="n">
        <main:f>=D7+D8+D9</main:f>
      </main:c>
      <main:c r="E11" t="n">
        <main:f>=E7+E8+E9</main:f>
      </main:c>
    </main:row>
    <main:row r="12">
      <main:c r="A12" t="s">
        <main:v>Income Tax Expense</main:v>
      </main:c>
      <main:c r="B12" t="n">
        <main:v>0</main:v>
      </main:c>
      <main:c r="C12" t="n">
        <main:v>0</main:v>
      </main:c>
      <main:c r="D12" t="n">
        <main:v>0</main:v>
      </main:c>
      <main:c r="E12" t="n">
        <main:v>0</main:v>
      </main:c>
    </main:row>
    <main:row r="13"/>
    <main:row r="14">
      <main:c r="A14" t="s">
        <main:v>NET INCOME</main:v>
      </main:c>
      <main:c r="B14" t="n">
        <main:f>=B11-B12</main:f>
      </main:c>
      <main:c r="C14" t="n">
        <main:f>=C11-C12</main:f>
      </main:c>
      <main:c r="D14" t="n">
        <main:f>=D11-D12</main:f>
      </main:c>
      <main:c r="E14" t="n">
        <main:f>=E11-E12</main:f>
      </main:c>
    </main:row>
  </main:sheetData>
</main:worksheet>
</file>

<file path=xl/worksheets/sheet4.xml><?xml version="1.0" encoding="utf-8"?>
<main:worksheet xmlns:main="http://schemas.openxmlformats.org/spreadsheetml/2006/main">
  <main:sheetData>
    <main:row r="1">
      <main:c r="A1" t="s">
        <main:v>TANGIBLE BOOK VALUE ANALYSIS</main:v>
      </main:c>
    </main:row>
    <main:row r="2">
      <main:c r="B2" t="s">
        <main:v>2024A</main:v>
      </main:c>
      <main:c r="C2" t="s">
        <main:v>2025E</main:v>
      </main:c>
      <main:c r="D2" t="s">
        <main:v>2026E</main:v>
      </main:c>
      <main:c r="E2" t="s">
        <main:v>2027E</main:v>
      </main:c>
    </main:row>
    <main:row r="3">
      <main:c r="A3" t="s">
        <main:v>Beginning Book Value per Share ($)</main:v>
      </main:c>
      <main:c r="B3" t="n">
        <main:v>12.5</main:v>
      </main:c>
      <main:c r="C3" t="n">
        <main:v>13.2</main:v>
      </main:c>
      <main:c r="D3" t="n">
        <main:v>13.95</main:v>
      </main:c>
      <main:c r="E3" t="n">
        <main:v>14.75</main:v>
      </main:c>
    </main:row>
    <main:row r="4">
      <main:c r="A4" t="s">
        <main:v>Net Income per Share ($)</main:v>
      </main:c>
      <main:c r="B4" t="n">
        <main:f>=B14/100</main:f>
      </main:c>
      <main:c r="C4" t="n">
        <main:f>=C14/100</main:f>
      </main:c>
      <main:c r="D4" t="n">
        <main:f>=D14/100</main:f>
      </main:c>
      <main:c r="E4" t="n">
        <main:f>=E14/100</main:f>
      </main:c>
    </main:row>
    <main:row r="5">
      <main:c r="A5" t="s">
        <main:v>Dividends per Share ($)</main:v>
      </main:c>
      <main:c r="B5" t="n">
        <main:f>=B4*Assumptions!$B$31</main:f>
      </main:c>
      <main:c r="C5" t="n">
        <main:f>=C4*Assumptions!$B$31</main:f>
      </main:c>
      <main:c r="D5" t="n">
        <main:f>=D4*Assumptions!$B$31</main:f>
      </main:c>
      <main:c r="E5" t="n">
        <main:f>=E4*Assumptions!$B$31</main:f>
      </main:c>
    </main:row>
    <main:row r="6"/>
    <main:row r="7">
      <main:c r="A7" t="s">
        <main:v>Ending Book Value per Share ($)</main:v>
      </main:c>
      <main:c r="B7" t="n">
        <main:f>=B3+B4-B5</main:f>
      </main:c>
      <main:c r="C7" t="n">
        <main:f>=C3+C4-C5</main:f>
      </main:c>
      <main:c r="D7" t="n">
        <main:f>=D3+D4-D5</main:f>
      </main:c>
      <main:c r="E7" t="n">
        <main:f>=E3+E4-E5</main:f>
      </main:c>
    </main:row>
    <main:row r="8"/>
    <main:row r="9">
      <main:c r="A9" t="s">
        <main:v>Tangible Book Value per Share ($)</main:v>
      </main:c>
      <main:c r="B9" t="n">
        <main:f>=B8*0.95</main:f>
      </main:c>
      <main:c r="C9" t="n">
        <main:f>=C8*0.95</main:f>
      </main:c>
      <main:c r="D9" t="n">
        <main:f>=D8*0.95</main:f>
      </main:c>
      <main:c r="E9" t="n">
        <main:f>=E8*0.95</main:f>
      </main:c>
    </main:row>
    <main:row r="10">
      <main:c r="A10" t="s">
        <main:v>TBVPS Growth (%)</main:v>
      </main:c>
      <main:c r="C10" t="n">
        <main:f>=(C9-B9)/B9</main:f>
      </main:c>
      <main:c r="D10" t="n">
        <main:f>=(D9-C9)/C9</main:f>
      </main:c>
      <main:c r="E10" t="n">
        <main:f>=(E9-D9)/D9</main:f>
      </main:c>
    </main:row>
    <main:row r="11"/>
    <main:row r="12">
      <main:c r="A12" t="s">
        <main:v>Book Value Accretion (</main:v>
      </main:c>
      <main:c r="B12" t="n">
        <main:f>=B4-B5</main:f>
      </main:c>
      <main:c r="C12" t="n">
        <main:f>=C4-C5</main:f>
      </main:c>
      <main:c r="D12" t="n">
        <main:f>=D4-D5</main:f>
      </main:c>
      <main:c r="E12" t="n">
        <main:f>=E4-E5</main:f>
      </main:c>
    </main:row>
    <main:row r="13"/>
    <main:row r="14">
      <main:c r="A14" t="s">
        <main:v>NET INCOME</main:v>
      </main:c>
      <main:c r="B14" t="n">
        <main:v>188</main:v>
      </main:c>
      <main:c r="C14" t="n">
        <main:v>195</main:v>
      </main:c>
      <main:c r="D14" t="n">
        <main:v>210</main:v>
      </main:c>
      <main:c r="E14" t="n">
        <main:v>225</main:v>
      </main:c>
    </main:row>
  </main:sheetData>
</main:worksheet>
</file>

<file path=xl/worksheets/sheet5.xml><?xml version="1.0" encoding="utf-8"?>
<main:worksheet xmlns:main="http://schemas.openxmlformats.org/spreadsheetml/2006/main">
  <main:sheetData>
    <main:row r="1">
      <main:c r="A1" t="s">
        <main:v>DCF VALUATION - REDWOOD TRUST (RWT)</main:v>
      </main:c>
    </main:row>
    <main:row r="2"/>
    <main:row r="3">
      <main:c r="A3" t="s">
        <main:v>FREE CASH FLOW TO EQUITY</main:v>
      </main:c>
      <main:c r="B3" t="s">
        <main:v>2025E</main:v>
      </main:c>
      <main:c r="C3" t="s">
        <main:v>2026E</main:v>
      </main:c>
      <main:c r="D3" t="s">
        <main:v>2027E</main:v>
      </main:c>
      <main:c r="E3" t="s">
        <main:v>2028E</main:v>
      </main:c>
    </main:row>
    <main:row r="4">
      <main:c r="A4" t="s">
        <main:v>Net Income ($mm)</main:v>
      </main:c>
      <main:c r="B4" t="n">
        <main:v>195</main:v>
      </main:c>
      <main:c r="C4" t="n">
        <main:v>210</main:v>
      </main:c>
      <main:c r="D4" t="n">
        <main:v>225</main:v>
      </main:c>
      <main:c r="E4" t="n">
        <main:v>240</main:v>
      </main:c>
    </main:row>
    <main:row r="5">
      <main:c r="A5" t="s">
        <main:v>Less: Capital Expenditures</main:v>
      </main:c>
      <main:c r="B5" t="n">
        <main:v>0</main:v>
      </main:c>
      <main:c r="C5" t="n">
        <main:v>0</main:v>
      </main:c>
      <main:c r="D5" t="n">
        <main:v>0</main:v>
      </main:c>
      <main:c r="E5" t="n">
        <main:v>0</main:v>
      </main:c>
    </main:row>
    <main:row r="6">
      <main:c r="A6" t="s">
        <main:v>Add: Depreciation &amp; Amort.</main:v>
      </main:c>
      <main:c r="B6" t="n">
        <main:v>0</main:v>
      </main:c>
      <main:c r="C6" t="n">
        <main:v>0</main:v>
      </main:c>
      <main:c r="D6" t="n">
        <main:v>0</main:v>
      </main:c>
      <main:c r="E6" t="n">
        <main:v>0</main:v>
      </main:c>
    </main:row>
    <main:row r="7"/>
    <main:row r="8">
      <main:c r="A8" t="s">
        <main:v>FREE CASH FLOW</main:v>
      </main:c>
      <main:c r="B8" t="n">
        <main:f>=B4-B5+B6</main:f>
      </main:c>
      <main:c r="C8" t="n">
        <main:f>=C4-C5+C6</main:f>
      </main:c>
      <main:c r="D8" t="n">
        <main:f>=D4-D5+D6</main:f>
      </main:c>
      <main:c r="E8" t="n">
        <main:f>=E4-E5+E6</main:f>
      </main:c>
    </main:row>
    <main:row r="9"/>
    <main:row r="10">
      <main:c r="A10" t="s">
        <main:v>Discount Rate</main:v>
      </main:c>
      <main:c r="B10" t="n">
        <main:f>=Assumptions!$B$29</main:f>
      </main:c>
    </main:row>
    <main:row r="11">
      <main:c r="A11" t="s">
        <main:v>Terminal Growth Rate</main:v>
      </main:c>
      <main:c r="B11" t="n">
        <main:f>=Assumptions!$B$30</main:f>
      </main:c>
    </main:row>
    <main:row r="12"/>
    <main:row r="13">
      <main:c r="A13" t="s">
        <main:v>PV of Explicit FCF (4yr)</main:v>
      </main:c>
      <main:c r="B13" t="n">
        <main:f>=B8/(1+$B$10)^1+C8/(1+$B$10)^2+D8/(1+$B$10)^3+E8/(1+$B$10)^4</main:f>
      </main:c>
    </main:row>
    <main:row r="14">
      <main:c r="A14" t="s">
        <main:v>Terminal Value</main:v>
      </main:c>
      <main:c r="B14" t="n">
        <main:f>=E8*(1+$B$11)/(($B$10-$B$11))</main:f>
      </main:c>
    </main:row>
    <main:row r="15">
      <main:c r="A15" t="s">
        <main:v>PV of Terminal Value</main:v>
      </main:c>
      <main:c r="B15" t="n">
        <main:f>=B14/(1+$B$10)^4</main:f>
      </main:c>
    </main:row>
    <main:row r="16"/>
    <main:row r="17">
      <main:c r="A17" t="s">
        <main:v>ENTERPRISE VALUE ($mm)</main:v>
      </main:c>
      <main:c r="B17" t="n">
        <main:f>=B13+B15</main:f>
      </main:c>
    </main:row>
    <main:row r="18"/>
    <main:row r="19">
      <main:c r="A19" t="s">
        <main:v>Shares Outstanding (mm)</main:v>
      </main:c>
      <main:c r="B19" t="n">
        <main:v>100</main:v>
      </main:c>
    </main:row>
    <main:row r="20"/>
    <main:row r="21">
      <main:c r="A21" t="s">
        <main:v>IMPLIED PRICE PER SHARE</main:v>
      </main:c>
      <main:c r="B21" t="n">
        <main:f>=B17/B19</main:f>
      </main:c>
    </main:row>
    <main:row r="22"/>
    <main:row r="23">
      <main:c r="A23" t="s">
        <main:v>Current Price (assumed)</main:v>
      </main:c>
      <main:c r="B23" t="n">
        <main:v>14.5</main:v>
      </main:c>
    </main:row>
    <main:row r="24">
      <main:c r="A24" t="s">
        <main:v>Upside / (Downside)</main:v>
      </main:c>
      <main:c r="B24" t="n">
        <main:f>=(B21-B23)/B23</main:f>
      </main:c>
    </main:row>
  </main:sheetData>
</main:worksheet>
</file>

<file path=docProps/core.xml><?xml version="1.0" encoding="utf-8"?>
<cp:coreProperties xmlns:cp="http://schemas.openxmlformats.org/officeDocument/2006/custom-properties" xmlns:coreProperties="http://schemas.openxmlformats.org/officeDocument/2006/metadata/core-properties" xmlns:xsi="http://www.w3.org/2001/XMLSchema-instance">
  <dc:creator xmlns:dc="http://purl.org/dc/elements/1.1/">Claude</dc:creator>
  <dcterms:created xmlns:dcterms="http://purl.org/dc/terms/" xsi:type="dcterms:W3CDTF">2026-09-10T01:09:17.646464</dcterms:created>
</cp:coreProperties>
</file>