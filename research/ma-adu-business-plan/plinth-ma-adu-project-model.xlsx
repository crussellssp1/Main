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Project" sheetId="2" state="visible" r:id="rId2"/>
    <sheet xmlns:r="http://schemas.openxmlformats.org/officeDocument/2006/relationships" name="Scenarios" sheetId="3" state="visible" r:id="rId3"/>
  </sheets>
  <definedNames>
    <definedName name="Unit_SF">'Assumptions'!$C$5</definedName>
    <definedName name="HardCost_PSF">'Assumptions'!$C$6</definedName>
    <definedName name="Utility_Cost">'Assumptions'!$C$7</definedName>
    <definedName name="Site_Cost">'Assumptions'!$C$8</definedName>
    <definedName name="Design_Cost">'Assumptions'!$C$9</definedName>
    <definedName name="Permit_Cost">'Assumptions'!$C$10</definedName>
    <definedName name="Contingency_Pct">'Assumptions'!$C$11</definedName>
    <definedName name="Septic_Cost">'Assumptions'!$C$12</definedName>
    <definedName name="Sewered_Flag">'Assumptions'!$C$13</definedName>
    <definedName name="Rent_ADU_Mo">'Assumptions'!$C$15</definedName>
    <definedName name="Rent_House_Mo">'Assumptions'!$C$16</definedName>
    <definedName name="Opex_Pct">'Assumptions'!$C$17</definedName>
    <definedName name="MH_Loan">'Assumptions'!$C$19</definedName>
    <definedName name="MH_Rate">'Assumptions'!$C$20</definedName>
    <definedName name="MH_Term">'Assumptions'!$C$21</definedName>
    <definedName name="HMLP_Loan">'Assumptions'!$C$22</definedName>
    <definedName name="AL_Low">'Assumptions'!$C$24</definedName>
    <definedName name="AL_Med">'Assumptions'!$C$25</definedName>
    <definedName name="AL_High">'Assumptions'!$C$26</definedName>
    <definedName name="GM_Pct">'Assumptions'!$C$28</definedName>
    <definedName name="Coord_Fee">'Assumptions'!$C$29</definedName>
    <definedName name="Overhead_Y1">'Assumptions'!$C$30</definedName>
    <definedName name="Hurdle">'Assumptions'!$C$31</definedName>
    <definedName name="Total_Cost">'Project'!$C$12</definedName>
    <definedName name="Owner_Equity">'Project'!$C$18</definedName>
    <definedName name="Contribution">'Project'!$C$38</definedName>
  </definedNames>
  <calcPr calcId="124519" fullCalcOnLoad="1"/>
</workbook>
</file>

<file path=xl/styles.xml><?xml version="1.0" encoding="utf-8"?>
<styleSheet xmlns="http://schemas.openxmlformats.org/spreadsheetml/2006/main">
  <numFmts count="6">
    <numFmt numFmtId="164" formatCode="#,##0;(#,##0);&quot;-&quot;"/>
    <numFmt numFmtId="165" formatCode="&quot;$&quot;#,##0;(&quot;$&quot;#,##0);&quot;-&quot;"/>
    <numFmt numFmtId="166" formatCode="$#,##0;($#,##0);-"/>
    <numFmt numFmtId="167" formatCode="0.0%;(0.0%);-"/>
    <numFmt numFmtId="168" formatCode="0.0&quot;x&quot;"/>
    <numFmt numFmtId="169" formatCode="0.00&quot;x&quot;"/>
  </numFmts>
  <fonts count="9">
    <font>
      <name val="Calibri"/>
      <family val="2"/>
      <color theme="1"/>
      <sz val="11"/>
      <scheme val="minor"/>
    </font>
    <font>
      <name val="Calibri"/>
      <b val="1"/>
      <color rgb="FFFFFFFF"/>
      <sz val="10"/>
    </font>
    <font>
      <name val="Calibri"/>
      <i val="1"/>
      <color rgb="FF808080"/>
      <sz val="9"/>
    </font>
    <font>
      <name val="Calibri"/>
      <color rgb="FF000000"/>
      <sz val="10"/>
    </font>
    <font>
      <name val="Calibri"/>
      <color rgb="FF008000"/>
      <sz val="10"/>
    </font>
    <font>
      <name val="Calibri"/>
      <b val="1"/>
      <color rgb="FF000000"/>
      <sz val="10"/>
    </font>
    <font>
      <name val="Calibri"/>
      <color rgb="FF0000FF"/>
      <sz val="10"/>
    </font>
    <font>
      <name val="Calibri"/>
      <i val="1"/>
      <color rgb="FF000000"/>
      <sz val="9"/>
    </font>
    <font>
      <name val="Calibri"/>
      <b val="1"/>
      <color rgb="FF008000"/>
      <sz val="10"/>
    </font>
  </fonts>
  <fills count="7">
    <fill>
      <patternFill/>
    </fill>
    <fill>
      <patternFill patternType="gray125"/>
    </fill>
    <fill>
      <patternFill patternType="solid">
        <fgColor rgb="FF0F2F51"/>
      </patternFill>
    </fill>
    <fill>
      <patternFill patternType="solid">
        <fgColor rgb="FFF2F2F2"/>
      </patternFill>
    </fill>
    <fill>
      <patternFill patternType="solid">
        <fgColor rgb="FFD9E1F2"/>
      </patternFill>
    </fill>
    <fill>
      <patternFill patternType="solid">
        <fgColor rgb="FFE2EFDA"/>
      </patternFill>
    </fill>
    <fill>
      <patternFill patternType="solid">
        <fgColor rgb="FFF2DCDB"/>
      </patternFill>
    </fill>
  </fills>
  <borders count="4">
    <border>
      <left/>
      <right/>
      <top/>
      <bottom/>
      <diagonal/>
    </border>
    <border>
      <left style="dotted">
        <color rgb="FF808080"/>
      </left>
      <right style="dotted">
        <color rgb="FF808080"/>
      </right>
      <top style="dotted">
        <color rgb="FF808080"/>
      </top>
      <bottom style="dotted">
        <color rgb="FF808080"/>
      </bottom>
    </border>
    <border>
      <top style="thin">
        <color rgb="FF0F2F51"/>
      </top>
    </border>
    <border>
      <left style="dashed">
        <color rgb="FF0F2F51"/>
      </left>
      <right style="dashed">
        <color rgb="FF0F2F51"/>
      </right>
      <top style="dashed">
        <color rgb="FF0F2F51"/>
      </top>
      <bottom style="dashed">
        <color rgb="FF0F2F51"/>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Continuous" vertical="center"/>
    </xf>
    <xf numFmtId="0" fontId="2" fillId="0" borderId="0" pivotButton="0" quotePrefix="0" xfId="0"/>
    <xf numFmtId="0" fontId="3" fillId="0" borderId="0" pivotButton="0" quotePrefix="0" xfId="0"/>
    <xf numFmtId="164" fontId="4" fillId="0" borderId="1" applyAlignment="1" pivotButton="0" quotePrefix="0" xfId="0">
      <alignment horizontal="center" vertical="center"/>
    </xf>
    <xf numFmtId="0" fontId="3" fillId="3" borderId="0" pivotButton="0" quotePrefix="0" xfId="0"/>
    <xf numFmtId="165" fontId="4" fillId="0" borderId="1" applyAlignment="1" pivotButton="0" quotePrefix="0" xfId="0">
      <alignment horizontal="center" vertical="center"/>
    </xf>
    <xf numFmtId="166" fontId="4" fillId="0" borderId="1" applyAlignment="1" pivotButton="0" quotePrefix="0" xfId="0">
      <alignment horizontal="center" vertical="center"/>
    </xf>
    <xf numFmtId="167" fontId="4" fillId="0" borderId="1" applyAlignment="1" pivotButton="0" quotePrefix="0" xfId="0">
      <alignment horizontal="center" vertical="center"/>
    </xf>
    <xf numFmtId="0" fontId="5" fillId="4" borderId="0" applyAlignment="1" pivotButton="0" quotePrefix="0" xfId="0">
      <alignment horizontal="left" vertical="center"/>
    </xf>
    <xf numFmtId="0" fontId="5" fillId="4" borderId="0" applyAlignment="1" pivotButton="0" quotePrefix="0" xfId="0">
      <alignment horizontal="center" vertical="center"/>
    </xf>
    <xf numFmtId="166" fontId="3" fillId="3" borderId="0" applyAlignment="1" pivotButton="0" quotePrefix="0" xfId="0">
      <alignment horizontal="center" vertical="center"/>
    </xf>
    <xf numFmtId="165" fontId="3" fillId="3" borderId="0" applyAlignment="1" pivotButton="0" quotePrefix="0" xfId="0">
      <alignment horizontal="center" vertical="center"/>
    </xf>
    <xf numFmtId="167" fontId="3" fillId="3" borderId="0" applyAlignment="1" pivotButton="0" quotePrefix="0" xfId="0">
      <alignment horizontal="center" vertical="center"/>
    </xf>
    <xf numFmtId="166" fontId="6" fillId="0" borderId="0" applyAlignment="1" pivotButton="0" quotePrefix="0" xfId="0">
      <alignment horizontal="center" vertical="center"/>
    </xf>
    <xf numFmtId="165" fontId="3" fillId="0" borderId="0" applyAlignment="1" pivotButton="0" quotePrefix="0" xfId="0">
      <alignment horizontal="center" vertical="center"/>
    </xf>
    <xf numFmtId="167" fontId="3" fillId="0" borderId="0" applyAlignment="1" pivotButton="0" quotePrefix="0" xfId="0">
      <alignment horizontal="center" vertical="center"/>
    </xf>
    <xf numFmtId="166" fontId="6" fillId="3" borderId="0" applyAlignment="1" pivotButton="0" quotePrefix="0" xfId="0">
      <alignment horizontal="center" vertical="center"/>
    </xf>
    <xf numFmtId="166" fontId="3" fillId="0" borderId="0" applyAlignment="1" pivotButton="0" quotePrefix="0" xfId="0">
      <alignment horizontal="center" vertical="center"/>
    </xf>
    <xf numFmtId="0" fontId="1" fillId="2" borderId="0" applyAlignment="1" pivotButton="0" quotePrefix="0" xfId="0">
      <alignment horizontal="left" vertical="center"/>
    </xf>
    <xf numFmtId="166" fontId="1" fillId="2" borderId="0" applyAlignment="1" pivotButton="0" quotePrefix="0" xfId="0">
      <alignment horizontal="center" vertical="center"/>
    </xf>
    <xf numFmtId="165" fontId="1" fillId="2" borderId="0" applyAlignment="1" pivotButton="0" quotePrefix="0" xfId="0">
      <alignment horizontal="center" vertical="center"/>
    </xf>
    <xf numFmtId="167" fontId="1" fillId="2" borderId="0" applyAlignment="1" pivotButton="0" quotePrefix="0" xfId="0">
      <alignment horizontal="center" vertical="center"/>
    </xf>
    <xf numFmtId="166" fontId="7" fillId="0" borderId="0" applyAlignment="1" pivotButton="0" quotePrefix="0" xfId="0">
      <alignment horizontal="center" vertical="center"/>
    </xf>
    <xf numFmtId="0" fontId="5" fillId="0" borderId="2" pivotButton="0" quotePrefix="0" xfId="0"/>
    <xf numFmtId="166" fontId="5" fillId="0" borderId="2" applyAlignment="1" pivotButton="0" quotePrefix="0" xfId="0">
      <alignment horizontal="center" vertical="center"/>
    </xf>
    <xf numFmtId="168" fontId="3" fillId="0" borderId="0" applyAlignment="1" pivotButton="0" quotePrefix="0" xfId="0">
      <alignment horizontal="center" vertical="center"/>
    </xf>
    <xf numFmtId="166" fontId="5" fillId="0" borderId="0" applyAlignment="1" pivotButton="0" quotePrefix="0" xfId="0">
      <alignment horizontal="center" vertical="center"/>
    </xf>
    <xf numFmtId="0" fontId="0" fillId="3" borderId="0" pivotButton="0" quotePrefix="0" xfId="0"/>
    <xf numFmtId="0" fontId="1" fillId="2" borderId="0" applyAlignment="1" pivotButton="0" quotePrefix="0" xfId="0">
      <alignment horizontal="center" vertical="center"/>
    </xf>
    <xf numFmtId="0" fontId="5" fillId="0" borderId="0" pivotButton="0" quotePrefix="0" xfId="0"/>
    <xf numFmtId="169" fontId="5" fillId="0" borderId="0" applyAlignment="1" pivotButton="0" quotePrefix="0" xfId="0">
      <alignment horizontal="center" vertical="center"/>
    </xf>
    <xf numFmtId="166" fontId="3" fillId="5" borderId="0" applyAlignment="1" pivotButton="0" quotePrefix="0" xfId="0">
      <alignment horizontal="center" vertical="center"/>
    </xf>
    <xf numFmtId="166" fontId="3" fillId="0" borderId="3" applyAlignment="1" pivotButton="0" quotePrefix="0" xfId="0">
      <alignment horizontal="center" vertical="center"/>
    </xf>
    <xf numFmtId="166" fontId="3" fillId="6" borderId="0" applyAlignment="1" pivotButton="0" quotePrefix="0" xfId="0">
      <alignment horizontal="center" vertical="center"/>
    </xf>
    <xf numFmtId="165" fontId="3" fillId="0" borderId="3" applyAlignment="1" pivotButton="0" quotePrefix="0" xfId="0">
      <alignment horizontal="center" vertical="center"/>
    </xf>
    <xf numFmtId="166" fontId="5" fillId="6" borderId="2" applyAlignment="1" pivotButton="0" quotePrefix="0" xfId="0">
      <alignment horizontal="center" vertical="center"/>
    </xf>
    <xf numFmtId="166" fontId="5" fillId="0" borderId="3" applyAlignment="1" pivotButton="0" quotePrefix="0" xfId="0">
      <alignment horizontal="center" vertical="center"/>
    </xf>
    <xf numFmtId="166" fontId="5" fillId="5" borderId="2" applyAlignment="1" pivotButton="0" quotePrefix="0" xfId="0">
      <alignment horizontal="center" vertical="center"/>
    </xf>
    <xf numFmtId="167" fontId="5" fillId="6" borderId="0" applyAlignment="1" pivotButton="0" quotePrefix="0" xfId="0">
      <alignment horizontal="center" vertical="center"/>
    </xf>
    <xf numFmtId="167" fontId="5" fillId="0" borderId="3" applyAlignment="1" pivotButton="0" quotePrefix="0" xfId="0">
      <alignment horizontal="center" vertical="center"/>
    </xf>
    <xf numFmtId="167" fontId="5" fillId="5" borderId="0" applyAlignment="1" pivotButton="0" quotePrefix="0" xfId="0">
      <alignment horizontal="center" vertical="center"/>
    </xf>
    <xf numFmtId="168" fontId="3" fillId="5" borderId="0" applyAlignment="1" pivotButton="0" quotePrefix="0" xfId="0">
      <alignment horizontal="center" vertical="center"/>
    </xf>
    <xf numFmtId="168" fontId="3" fillId="0" borderId="3" applyAlignment="1" pivotButton="0" quotePrefix="0" xfId="0">
      <alignment horizontal="center" vertical="center"/>
    </xf>
    <xf numFmtId="168" fontId="3" fillId="6" borderId="0" applyAlignment="1" pivotButton="0" quotePrefix="0" xfId="0">
      <alignment horizontal="center" vertical="center"/>
    </xf>
    <xf numFmtId="169" fontId="3" fillId="5" borderId="0" applyAlignment="1" pivotButton="0" quotePrefix="0" xfId="0">
      <alignment horizontal="center" vertical="center"/>
    </xf>
    <xf numFmtId="169" fontId="3" fillId="0" borderId="3" applyAlignment="1" pivotButton="0" quotePrefix="0" xfId="0">
      <alignment horizontal="center" vertical="center"/>
    </xf>
    <xf numFmtId="169" fontId="3" fillId="6" borderId="0" applyAlignment="1" pivotButton="0" quotePrefix="0" xfId="0">
      <alignment horizontal="center" vertical="center"/>
    </xf>
    <xf numFmtId="0" fontId="5" fillId="4" borderId="0" pivotButton="0" quotePrefix="0" xfId="0"/>
    <xf numFmtId="166" fontId="8" fillId="4" borderId="1" applyAlignment="1" pivotButton="0" quotePrefix="0" xfId="0">
      <alignment horizontal="center" vertical="center"/>
    </xf>
    <xf numFmtId="166" fontId="8" fillId="3" borderId="1" applyAlignment="1" pivotButton="0" quotePrefix="0" xfId="0">
      <alignment horizontal="center" vertical="center"/>
    </xf>
    <xf numFmtId="167" fontId="3" fillId="5" borderId="0" applyAlignment="1" pivotButton="0" quotePrefix="0" xfId="0">
      <alignment horizontal="center" vertical="center"/>
    </xf>
    <xf numFmtId="167" fontId="3"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E33"/>
  <sheetViews>
    <sheetView showGridLines="0" workbookViewId="0">
      <selection activeCell="A1" sqref="A1"/>
    </sheetView>
  </sheetViews>
  <sheetFormatPr baseColWidth="8" defaultRowHeight="15"/>
  <cols>
    <col width="2" customWidth="1" min="1" max="1"/>
    <col width="52" customWidth="1" min="2" max="2"/>
    <col width="14" customWidth="1" min="3" max="3"/>
    <col width="2" customWidth="1" min="4" max="4"/>
    <col width="58" customWidth="1" min="5" max="5"/>
  </cols>
  <sheetData>
    <row r="1" ht="16" customHeight="1">
      <c r="B1" s="1" t="inlineStr">
        <is>
          <t>MASSACHUSETTS ADU PROJECT MODEL  |  ASSUMPTIONS</t>
        </is>
      </c>
      <c r="C1" s="1" t="n"/>
      <c r="D1" s="1" t="n"/>
      <c r="E1" s="1" t="n"/>
    </row>
    <row r="2">
      <c r="B2" s="2" t="inlineStr">
        <is>
          <t>All green cells are inputs. Blue is a link, black is a formula. Figures are illustrative and require validation.</t>
        </is>
      </c>
    </row>
    <row r="4" ht="16" customHeight="1">
      <c r="B4" s="1" t="inlineStr">
        <is>
          <t>UNIT AND COST</t>
        </is>
      </c>
      <c r="C4" s="1" t="n"/>
    </row>
    <row r="5">
      <c r="B5" s="3" t="inlineStr">
        <is>
          <t>Unit size</t>
        </is>
      </c>
      <c r="C5" s="4" t="n">
        <v>900</v>
      </c>
    </row>
    <row r="6">
      <c r="B6" s="5" t="inlineStr">
        <is>
          <t>Hard cost per sq ft: foundation, shell, systems, interior</t>
        </is>
      </c>
      <c r="C6" s="6" t="n">
        <v>333.33</v>
      </c>
    </row>
    <row r="7">
      <c r="B7" s="3" t="inlineStr">
        <is>
          <t>Utility service, laterals and trenching</t>
        </is>
      </c>
      <c r="C7" s="7" t="n">
        <v>18000</v>
      </c>
    </row>
    <row r="8">
      <c r="B8" s="5" t="inlineStr">
        <is>
          <t>Site work, access and restoration</t>
        </is>
      </c>
      <c r="C8" s="7" t="n">
        <v>12000</v>
      </c>
    </row>
    <row r="9">
      <c r="B9" s="3" t="inlineStr">
        <is>
          <t>Design, structural engineering and survey</t>
        </is>
      </c>
      <c r="C9" s="7" t="n">
        <v>16000</v>
      </c>
    </row>
    <row r="10">
      <c r="B10" s="5" t="inlineStr">
        <is>
          <t>Permits and municipal fees</t>
        </is>
      </c>
      <c r="C10" s="7" t="n">
        <v>6000</v>
      </c>
    </row>
    <row r="11">
      <c r="B11" s="3" t="inlineStr">
        <is>
          <t>Contingency, percent of hard cost</t>
        </is>
      </c>
      <c r="C11" s="8" t="n">
        <v>0.08</v>
      </c>
    </row>
    <row r="12">
      <c r="B12" s="5" t="inlineStr">
        <is>
          <t>Wastewater system if the lot is not sewered, net of grants</t>
        </is>
      </c>
      <c r="C12" s="7" t="n">
        <v>35000</v>
      </c>
    </row>
    <row r="13">
      <c r="B13" s="3" t="inlineStr">
        <is>
          <t>Lot is sewered: enter 1 for yes, 0 for no</t>
        </is>
      </c>
      <c r="C13" s="4" t="n">
        <v>1</v>
      </c>
    </row>
    <row r="14" ht="16" customHeight="1">
      <c r="B14" s="1" t="inlineStr">
        <is>
          <t>REVENUE AND OPERATING</t>
        </is>
      </c>
      <c r="C14" s="1" t="n"/>
    </row>
    <row r="15">
      <c r="B15" s="3" t="inlineStr">
        <is>
          <t>Monthly rent achievable on the ADU</t>
        </is>
      </c>
      <c r="C15" s="7" t="n">
        <v>3400</v>
      </c>
    </row>
    <row r="16">
      <c r="B16" s="5" t="inlineStr">
        <is>
          <t>Monthly rent on the main house, downsize case</t>
        </is>
      </c>
      <c r="C16" s="7" t="n">
        <v>4007</v>
      </c>
    </row>
    <row r="17">
      <c r="B17" s="3" t="inlineStr">
        <is>
          <t>Operating expense ratio: tax uplift, insurance, maintenance, vacancy</t>
        </is>
      </c>
      <c r="C17" s="8" t="n">
        <v>0.3</v>
      </c>
    </row>
    <row r="18" ht="16" customHeight="1">
      <c r="B18" s="1" t="inlineStr">
        <is>
          <t>FINANCING</t>
        </is>
      </c>
      <c r="C18" s="1" t="n"/>
    </row>
    <row r="19">
      <c r="B19" s="3" t="inlineStr">
        <is>
          <t>MassHousing ADU construction loan, detached maximum</t>
        </is>
      </c>
      <c r="C19" s="7" t="n">
        <v>250000</v>
      </c>
    </row>
    <row r="20">
      <c r="B20" s="5" t="inlineStr">
        <is>
          <t>MassHousing assumed interest rate</t>
        </is>
      </c>
      <c r="C20" s="8" t="n">
        <v>0.065</v>
      </c>
    </row>
    <row r="21">
      <c r="B21" s="3" t="inlineStr">
        <is>
          <t>MassHousing amortisation period, years</t>
        </is>
      </c>
      <c r="C21" s="4" t="n">
        <v>20</v>
      </c>
    </row>
    <row r="22">
      <c r="B22" s="5" t="inlineStr">
        <is>
          <t>Home Modification Loan Program, 0 percent, deferred to sale</t>
        </is>
      </c>
      <c r="C22" s="7" t="n">
        <v>50000</v>
      </c>
    </row>
    <row r="23" ht="16" customHeight="1">
      <c r="B23" s="1" t="inlineStr">
        <is>
          <t>ELDERCARE COMPARISON</t>
        </is>
      </c>
      <c r="C23" s="1" t="n"/>
    </row>
    <row r="24">
      <c r="B24" s="3" t="inlineStr">
        <is>
          <t>Assisted living per month, low</t>
        </is>
      </c>
      <c r="C24" s="7" t="n">
        <v>7250</v>
      </c>
    </row>
    <row r="25">
      <c r="B25" s="5" t="inlineStr">
        <is>
          <t>Assisted living per month, median</t>
        </is>
      </c>
      <c r="C25" s="7" t="n">
        <v>8400</v>
      </c>
    </row>
    <row r="26">
      <c r="B26" s="3" t="inlineStr">
        <is>
          <t>Assisted living per month, Greater Boston</t>
        </is>
      </c>
      <c r="C26" s="7" t="n">
        <v>9600</v>
      </c>
    </row>
    <row r="27" ht="16" customHeight="1">
      <c r="B27" s="1" t="inlineStr">
        <is>
          <t>COMPANY</t>
        </is>
      </c>
      <c r="C27" s="1" t="n"/>
    </row>
    <row r="28">
      <c r="B28" s="3" t="inlineStr">
        <is>
          <t>Gross margin on the design build contract</t>
        </is>
      </c>
      <c r="C28" s="8" t="n">
        <v>0.2</v>
      </c>
    </row>
    <row r="29">
      <c r="B29" s="5" t="inlineStr">
        <is>
          <t>Permitting and financing coordination fee per unit</t>
        </is>
      </c>
      <c r="C29" s="7" t="n">
        <v>8000</v>
      </c>
    </row>
    <row r="30">
      <c r="B30" s="3" t="inlineStr">
        <is>
          <t>Fixed overhead, year one</t>
        </is>
      </c>
      <c r="C30" s="7" t="n">
        <v>450000</v>
      </c>
    </row>
    <row r="31">
      <c r="B31" s="5" t="inlineStr">
        <is>
          <t>Target unlevered yield hurdle</t>
        </is>
      </c>
      <c r="C31" s="8" t="n">
        <v>0.065</v>
      </c>
    </row>
    <row r="33">
      <c r="B33" s="2" t="inlineStr">
        <is>
          <t>Sources: Massachusetts contractor cost guides 2026; MassHousing; CEDAC Home Modification Loan Program; CareScout and Genworth Cost of Care; RentCafe and Zumper. All figures illustrative.</t>
        </is>
      </c>
    </row>
  </sheetData>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1:E41"/>
  <sheetViews>
    <sheetView showGridLines="0" workbookViewId="0">
      <selection activeCell="A1" sqref="A1"/>
    </sheetView>
  </sheetViews>
  <sheetFormatPr baseColWidth="8" defaultRowHeight="15"/>
  <cols>
    <col width="2" customWidth="1" min="1" max="1"/>
    <col width="52" customWidth="1" min="2" max="2"/>
    <col width="15" customWidth="1" min="3" max="3"/>
    <col width="15" customWidth="1" min="4" max="4"/>
    <col width="46" customWidth="1" min="5" max="5"/>
  </cols>
  <sheetData>
    <row r="1" ht="16" customHeight="1">
      <c r="B1" s="1" t="inlineStr">
        <is>
          <t>SINGLE PROJECT ECONOMICS  |  900 SQ FT DETACHED TWO BEDROOM</t>
        </is>
      </c>
      <c r="C1" s="1" t="n"/>
      <c r="D1" s="1" t="n"/>
      <c r="E1" s="1" t="n"/>
    </row>
    <row r="3" ht="16" customHeight="1">
      <c r="B3" s="1" t="inlineStr">
        <is>
          <t>COST BUILD</t>
        </is>
      </c>
      <c r="C3" s="1" t="n"/>
      <c r="D3" s="1" t="n"/>
      <c r="E3" s="1" t="n"/>
    </row>
    <row r="4">
      <c r="B4" s="9" t="inlineStr">
        <is>
          <t>Cost line</t>
        </is>
      </c>
      <c r="C4" s="10" t="inlineStr">
        <is>
          <t>Amount</t>
        </is>
      </c>
      <c r="D4" s="10" t="inlineStr">
        <is>
          <t>$ per sq ft</t>
        </is>
      </c>
      <c r="E4" s="10" t="inlineStr">
        <is>
          <t>% of total</t>
        </is>
      </c>
    </row>
    <row r="5">
      <c r="B5" s="5" t="inlineStr">
        <is>
          <t>Hard cost: foundation, shell, systems and interior</t>
        </is>
      </c>
      <c r="C5" s="11">
        <f>Unit_SF*HardCost_PSF</f>
        <v/>
      </c>
      <c r="D5" s="12">
        <f>C5/Unit_SF</f>
        <v/>
      </c>
      <c r="E5" s="13">
        <f>C5/$C$12</f>
        <v/>
      </c>
    </row>
    <row r="6">
      <c r="B6" s="3" t="inlineStr">
        <is>
          <t>Utility service, laterals and trenching</t>
        </is>
      </c>
      <c r="C6" s="14">
        <f>Utility_Cost</f>
        <v/>
      </c>
      <c r="D6" s="15">
        <f>C6/Unit_SF</f>
        <v/>
      </c>
      <c r="E6" s="16">
        <f>C6/$C$12</f>
        <v/>
      </c>
    </row>
    <row r="7">
      <c r="B7" s="5" t="inlineStr">
        <is>
          <t>Site work, access and restoration</t>
        </is>
      </c>
      <c r="C7" s="17">
        <f>Site_Cost</f>
        <v/>
      </c>
      <c r="D7" s="12">
        <f>C7/Unit_SF</f>
        <v/>
      </c>
      <c r="E7" s="13">
        <f>C7/$C$12</f>
        <v/>
      </c>
    </row>
    <row r="8">
      <c r="B8" s="3" t="inlineStr">
        <is>
          <t>Design, structural engineering and survey</t>
        </is>
      </c>
      <c r="C8" s="14">
        <f>Design_Cost</f>
        <v/>
      </c>
      <c r="D8" s="15">
        <f>C8/Unit_SF</f>
        <v/>
      </c>
      <c r="E8" s="16">
        <f>C8/$C$12</f>
        <v/>
      </c>
    </row>
    <row r="9">
      <c r="B9" s="5" t="inlineStr">
        <is>
          <t>Permits and municipal fees</t>
        </is>
      </c>
      <c r="C9" s="17">
        <f>Permit_Cost</f>
        <v/>
      </c>
      <c r="D9" s="12">
        <f>C9/Unit_SF</f>
        <v/>
      </c>
      <c r="E9" s="13">
        <f>C9/$C$12</f>
        <v/>
      </c>
    </row>
    <row r="10">
      <c r="B10" s="3" t="inlineStr">
        <is>
          <t>Wastewater system, unsewered lots only</t>
        </is>
      </c>
      <c r="C10" s="18">
        <f>IF(Sewered_Flag=1,0,Septic_Cost)</f>
        <v/>
      </c>
      <c r="D10" s="15">
        <f>C10/Unit_SF</f>
        <v/>
      </c>
      <c r="E10" s="16">
        <f>C10/$C$12</f>
        <v/>
      </c>
    </row>
    <row r="11">
      <c r="B11" s="5" t="inlineStr">
        <is>
          <t>Contingency on hard cost</t>
        </is>
      </c>
      <c r="C11" s="11">
        <f>C5*Contingency_Pct</f>
        <v/>
      </c>
      <c r="D11" s="12">
        <f>C11/Unit_SF</f>
        <v/>
      </c>
      <c r="E11" s="13">
        <f>C11/$C$12</f>
        <v/>
      </c>
    </row>
    <row r="12">
      <c r="B12" s="19" t="inlineStr">
        <is>
          <t>Total all in project cost</t>
        </is>
      </c>
      <c r="C12" s="20">
        <f>SUM(C5:C11)</f>
        <v/>
      </c>
      <c r="D12" s="21">
        <f>C12/Unit_SF</f>
        <v/>
      </c>
      <c r="E12" s="22">
        <f>C12/$C$12</f>
        <v/>
      </c>
    </row>
    <row r="14" ht="16" customHeight="1">
      <c r="B14" s="1" t="inlineStr">
        <is>
          <t>SOURCES AND USES, OWNER OCCUPANT</t>
        </is>
      </c>
      <c r="C14" s="1" t="n"/>
      <c r="D14" s="1" t="n"/>
      <c r="E14" s="1" t="n"/>
    </row>
    <row r="15">
      <c r="B15" s="9" t="inlineStr">
        <is>
          <t>Source</t>
        </is>
      </c>
      <c r="C15" s="10" t="inlineStr">
        <is>
          <t>Amount</t>
        </is>
      </c>
      <c r="D15" s="10" t="inlineStr">
        <is>
          <t>% of total</t>
        </is>
      </c>
      <c r="E15" s="10" t="inlineStr">
        <is>
          <t>Terms</t>
        </is>
      </c>
    </row>
    <row r="16">
      <c r="B16" s="5" t="inlineStr">
        <is>
          <t>MassHousing ADU construction loan</t>
        </is>
      </c>
      <c r="C16" s="11">
        <f>MIN(MH_Loan,Total_Cost)</f>
        <v/>
      </c>
      <c r="D16" s="13">
        <f>C16/Total_Cost</f>
        <v/>
      </c>
      <c r="E16" s="5" t="inlineStr">
        <is>
          <t>Fixed rate second mortgage, 20 year amortisation</t>
        </is>
      </c>
    </row>
    <row r="17">
      <c r="B17" s="3" t="inlineStr">
        <is>
          <t>Home Modification Loan Program</t>
        </is>
      </c>
      <c r="C17" s="18">
        <f>MIN(HMLP_Loan,MAX(0,Total_Cost-C16))</f>
        <v/>
      </c>
      <c r="D17" s="16">
        <f>C17/Total_Cost</f>
        <v/>
      </c>
      <c r="E17" s="3" t="inlineStr">
        <is>
          <t>0 percent, no monthly payment, deferred to sale</t>
        </is>
      </c>
    </row>
    <row r="18">
      <c r="B18" s="5" t="inlineStr">
        <is>
          <t>Owner equity</t>
        </is>
      </c>
      <c r="C18" s="11">
        <f>Total_Cost-C16-C17</f>
        <v/>
      </c>
      <c r="D18" s="13">
        <f>C18/Total_Cost</f>
        <v/>
      </c>
      <c r="E18" s="5" t="inlineStr">
        <is>
          <t>Cash at closing</t>
        </is>
      </c>
    </row>
    <row r="19">
      <c r="B19" s="19" t="inlineStr">
        <is>
          <t>Total sources</t>
        </is>
      </c>
      <c r="C19" s="20">
        <f>SUM(C16:C18)</f>
        <v/>
      </c>
      <c r="D19" s="22">
        <f>C19/Total_Cost</f>
        <v/>
      </c>
      <c r="E19" s="19" t="n"/>
    </row>
    <row r="20">
      <c r="B20" s="2" t="inlineStr">
        <is>
          <t>Check: sources less uses</t>
        </is>
      </c>
      <c r="C20" s="23">
        <f>C19-Total_Cost</f>
        <v/>
      </c>
    </row>
    <row r="22" ht="16" customHeight="1">
      <c r="B22" s="1" t="inlineStr">
        <is>
          <t>SEGMENT RETURNS</t>
        </is>
      </c>
      <c r="C22" s="1" t="n"/>
      <c r="D22" s="1" t="n"/>
      <c r="E22" s="1" t="n"/>
    </row>
    <row r="23">
      <c r="B23" s="9" t="inlineStr">
        <is>
          <t>Metric</t>
        </is>
      </c>
      <c r="C23" s="10" t="inlineStr">
        <is>
          <t>Eldercare</t>
        </is>
      </c>
      <c r="D23" s="10" t="inlineStr">
        <is>
          <t>Downsize in place</t>
        </is>
      </c>
      <c r="E23" s="10" t="inlineStr">
        <is>
          <t>Investor</t>
        </is>
      </c>
    </row>
    <row r="24">
      <c r="B24" s="5" t="inlineStr">
        <is>
          <t>Annual revenue or avoided cost</t>
        </is>
      </c>
      <c r="C24" s="11">
        <f>AL_Low*12</f>
        <v/>
      </c>
      <c r="D24" s="11">
        <f>Rent_House_Mo*12</f>
        <v/>
      </c>
      <c r="E24" s="11">
        <f>Rent_ADU_Mo*12</f>
        <v/>
      </c>
    </row>
    <row r="25">
      <c r="B25" s="3" t="inlineStr">
        <is>
          <t>Operating expenses</t>
        </is>
      </c>
      <c r="C25" s="18" t="inlineStr">
        <is>
          <t>-</t>
        </is>
      </c>
      <c r="D25" s="18">
        <f>-D24*Opex_Pct</f>
        <v/>
      </c>
      <c r="E25" s="18">
        <f>-E24*Opex_Pct</f>
        <v/>
      </c>
    </row>
    <row r="26">
      <c r="B26" s="24" t="inlineStr">
        <is>
          <t>Net operating income</t>
        </is>
      </c>
      <c r="C26" s="25" t="inlineStr">
        <is>
          <t>-</t>
        </is>
      </c>
      <c r="D26" s="25">
        <f>SUM(D24:D25)</f>
        <v/>
      </c>
      <c r="E26" s="25">
        <f>SUM(E24:E25)</f>
        <v/>
      </c>
    </row>
    <row r="27">
      <c r="B27" s="5" t="inlineStr">
        <is>
          <t>Unlevered yield on total cost</t>
        </is>
      </c>
      <c r="C27" s="13" t="inlineStr">
        <is>
          <t>-</t>
        </is>
      </c>
      <c r="D27" s="13">
        <f>D26/Total_Cost</f>
        <v/>
      </c>
      <c r="E27" s="13">
        <f>E26/Total_Cost</f>
        <v/>
      </c>
    </row>
    <row r="28">
      <c r="B28" s="3" t="inlineStr">
        <is>
          <t>Years to break even against assisted living, low case</t>
        </is>
      </c>
      <c r="C28" s="26">
        <f>Total_Cost/C24</f>
        <v/>
      </c>
      <c r="D28" s="26" t="inlineStr">
        <is>
          <t>-</t>
        </is>
      </c>
      <c r="E28" s="26" t="inlineStr">
        <is>
          <t>-</t>
        </is>
      </c>
    </row>
    <row r="29">
      <c r="B29" s="5" t="inlineStr">
        <is>
          <t>Annual debt service on the MassHousing loan</t>
        </is>
      </c>
      <c r="C29" s="11" t="inlineStr">
        <is>
          <t>-</t>
        </is>
      </c>
      <c r="D29" s="11">
        <f>PMT(MH_Rate/12,MH_Term*12,C16)*12</f>
        <v/>
      </c>
      <c r="E29" s="11" t="inlineStr">
        <is>
          <t>-</t>
        </is>
      </c>
    </row>
    <row r="30">
      <c r="B30" s="24" t="inlineStr">
        <is>
          <t>Net cash flow after debt service</t>
        </is>
      </c>
      <c r="C30" s="25" t="inlineStr">
        <is>
          <t>-</t>
        </is>
      </c>
      <c r="D30" s="25">
        <f>D26+D29</f>
        <v/>
      </c>
      <c r="E30" s="25" t="inlineStr">
        <is>
          <t>-</t>
        </is>
      </c>
    </row>
    <row r="31">
      <c r="B31" s="5" t="inlineStr">
        <is>
          <t>Cash on cash return on owner equity</t>
        </is>
      </c>
      <c r="C31" s="13" t="inlineStr">
        <is>
          <t>-</t>
        </is>
      </c>
      <c r="D31" s="13">
        <f>D30/Owner_Equity</f>
        <v/>
      </c>
      <c r="E31" s="13" t="inlineStr">
        <is>
          <t>-</t>
        </is>
      </c>
    </row>
    <row r="32">
      <c r="B32" s="3" t="inlineStr">
        <is>
          <t>Rent required per month to clear the hurdle</t>
        </is>
      </c>
      <c r="C32" s="18" t="inlineStr">
        <is>
          <t>-</t>
        </is>
      </c>
      <c r="D32" s="18" t="inlineStr">
        <is>
          <t>-</t>
        </is>
      </c>
      <c r="E32" s="27">
        <f>Total_Cost*Hurdle/(1-Opex_Pct)/12</f>
        <v/>
      </c>
    </row>
    <row r="34" ht="16" customHeight="1">
      <c r="B34" s="1" t="inlineStr">
        <is>
          <t>CONTRIBUTION TO THE COMPANY</t>
        </is>
      </c>
      <c r="C34" s="1" t="n"/>
      <c r="D34" s="1" t="n"/>
      <c r="E34" s="1" t="n"/>
    </row>
    <row r="35">
      <c r="B35" s="5" t="inlineStr">
        <is>
          <t>Contract price to the owner</t>
        </is>
      </c>
      <c r="C35" s="11">
        <f>Total_Cost</f>
        <v/>
      </c>
      <c r="D35" s="28" t="n"/>
      <c r="E35" s="28" t="n"/>
    </row>
    <row r="36">
      <c r="B36" s="3" t="inlineStr">
        <is>
          <t>Gross margin on the contract</t>
        </is>
      </c>
      <c r="C36" s="18">
        <f>Total_Cost*GM_Pct</f>
        <v/>
      </c>
    </row>
    <row r="37">
      <c r="B37" s="5" t="inlineStr">
        <is>
          <t>Permitting and financing coordination fee</t>
        </is>
      </c>
      <c r="C37" s="17">
        <f>Coord_Fee</f>
        <v/>
      </c>
      <c r="D37" s="28" t="n"/>
      <c r="E37" s="28" t="n"/>
    </row>
    <row r="38">
      <c r="B38" s="19" t="inlineStr">
        <is>
          <t>Total contribution per unit</t>
        </is>
      </c>
      <c r="C38" s="20">
        <f>SUM(C36:C37)</f>
        <v/>
      </c>
      <c r="D38" s="29" t="n"/>
      <c r="E38" s="29" t="n"/>
    </row>
    <row r="39">
      <c r="B39" s="30" t="inlineStr">
        <is>
          <t>Company breakeven volume, units per year</t>
        </is>
      </c>
      <c r="C39" s="31">
        <f>Overhead_Y1/Contribution</f>
        <v/>
      </c>
    </row>
    <row r="41">
      <c r="B41" s="2" t="inlineStr">
        <is>
          <t>Note: operating expenses are presented negative so subtotals are a plain SUM. Eldercare shows avoided cost rather than rent, so yield and cash flow do not apply.</t>
        </is>
      </c>
    </row>
  </sheetData>
  <printOptions horizontalCentered="1"/>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1:H31"/>
  <sheetViews>
    <sheetView showGridLines="0" workbookViewId="0">
      <selection activeCell="A1" sqref="A1"/>
    </sheetView>
  </sheetViews>
  <sheetFormatPr baseColWidth="8" defaultRowHeight="15"/>
  <cols>
    <col width="2" customWidth="1" min="1" max="1"/>
    <col width="50" customWidth="1" min="2" max="2"/>
    <col width="16" customWidth="1" min="3" max="3"/>
    <col width="16" customWidth="1" min="4" max="4"/>
    <col width="16" customWidth="1" min="5" max="5"/>
    <col width="16" customWidth="1" min="6" max="6"/>
    <col width="16" customWidth="1" min="7" max="7"/>
    <col width="16" customWidth="1" min="8" max="8"/>
  </cols>
  <sheetData>
    <row r="1" ht="16" customHeight="1">
      <c r="B1" s="1" t="inlineStr">
        <is>
          <t>SCENARIO ANALYSIS  |  DOWNSIDE, BASE AND UPSIDE</t>
        </is>
      </c>
      <c r="C1" s="1" t="n"/>
      <c r="D1" s="1" t="n"/>
      <c r="E1" s="1" t="n"/>
    </row>
    <row r="3" ht="16" customHeight="1">
      <c r="B3" s="1" t="inlineStr">
        <is>
          <t>SCENARIO INPUTS</t>
        </is>
      </c>
      <c r="C3" s="1" t="n"/>
      <c r="D3" s="1" t="n"/>
      <c r="E3" s="1" t="n"/>
    </row>
    <row r="4">
      <c r="B4" s="9" t="inlineStr">
        <is>
          <t>Input</t>
        </is>
      </c>
      <c r="C4" s="10" t="inlineStr">
        <is>
          <t>Downside</t>
        </is>
      </c>
      <c r="D4" s="10" t="inlineStr">
        <is>
          <t>Base</t>
        </is>
      </c>
      <c r="E4" s="10" t="inlineStr">
        <is>
          <t>Upside</t>
        </is>
      </c>
    </row>
    <row r="5">
      <c r="B5" s="5" t="inlineStr">
        <is>
          <t>Hard cost per sq ft</t>
        </is>
      </c>
      <c r="C5" s="6" t="n">
        <v>368</v>
      </c>
      <c r="D5" s="6" t="n">
        <v>333.33</v>
      </c>
      <c r="E5" s="6" t="n">
        <v>280</v>
      </c>
    </row>
    <row r="6">
      <c r="B6" s="3" t="inlineStr">
        <is>
          <t>Monthly rent achieved</t>
        </is>
      </c>
      <c r="C6" s="7" t="n">
        <v>3000</v>
      </c>
      <c r="D6" s="7" t="n">
        <v>3400</v>
      </c>
      <c r="E6" s="7" t="n">
        <v>3800</v>
      </c>
    </row>
    <row r="7">
      <c r="B7" s="5" t="inlineStr">
        <is>
          <t>Operating expense ratio</t>
        </is>
      </c>
      <c r="C7" s="8" t="n">
        <v>0.35</v>
      </c>
      <c r="D7" s="8" t="n">
        <v>0.3</v>
      </c>
      <c r="E7" s="8" t="n">
        <v>0.27</v>
      </c>
    </row>
    <row r="8">
      <c r="B8" s="3" t="inlineStr">
        <is>
          <t>Lot is sewered: 1 for yes, 0 for no</t>
        </is>
      </c>
      <c r="C8" s="4" t="n">
        <v>0</v>
      </c>
      <c r="D8" s="4" t="n">
        <v>1</v>
      </c>
      <c r="E8" s="4" t="n">
        <v>1</v>
      </c>
    </row>
    <row r="9">
      <c r="B9" s="5" t="inlineStr">
        <is>
          <t>Soft cost and site work load: utilities, site, design, permits</t>
        </is>
      </c>
      <c r="C9" s="7" t="n">
        <v>62000</v>
      </c>
      <c r="D9" s="7" t="n">
        <v>52000</v>
      </c>
      <c r="E9" s="7" t="n">
        <v>46000</v>
      </c>
    </row>
    <row r="11" ht="16" customHeight="1">
      <c r="B11" s="1" t="inlineStr">
        <is>
          <t>SCENARIO OUTPUTS</t>
        </is>
      </c>
      <c r="C11" s="1" t="n"/>
      <c r="D11" s="1" t="n"/>
      <c r="E11" s="1" t="n"/>
    </row>
    <row r="12">
      <c r="B12" s="9" t="inlineStr">
        <is>
          <t>Metric</t>
        </is>
      </c>
      <c r="C12" s="10" t="inlineStr">
        <is>
          <t>Downside</t>
        </is>
      </c>
      <c r="D12" s="10" t="inlineStr">
        <is>
          <t>Base</t>
        </is>
      </c>
      <c r="E12" s="10" t="inlineStr">
        <is>
          <t>Upside</t>
        </is>
      </c>
    </row>
    <row r="13">
      <c r="B13" s="3" t="inlineStr">
        <is>
          <t>All in project cost</t>
        </is>
      </c>
      <c r="C13" s="32">
        <f>Unit_SF*C5+C9+Unit_SF*C5*Contingency_Pct+IF(C8=1,0,Septic_Cost)</f>
        <v/>
      </c>
      <c r="D13" s="33">
        <f>Unit_SF*D5+D9+Unit_SF*D5*Contingency_Pct+IF(D8=1,0,Septic_Cost)</f>
        <v/>
      </c>
      <c r="E13" s="34">
        <f>Unit_SF*E5+E9+Unit_SF*E5*Contingency_Pct+IF(E8=1,0,Septic_Cost)</f>
        <v/>
      </c>
    </row>
    <row r="14">
      <c r="B14" s="3" t="inlineStr">
        <is>
          <t>Cost per sq ft</t>
        </is>
      </c>
      <c r="C14" s="15">
        <f>C13/Unit_SF</f>
        <v/>
      </c>
      <c r="D14" s="35">
        <f>D13/Unit_SF</f>
        <v/>
      </c>
      <c r="E14" s="15">
        <f>E13/Unit_SF</f>
        <v/>
      </c>
    </row>
    <row r="15">
      <c r="B15" s="3" t="inlineStr">
        <is>
          <t>Gross annual rent</t>
        </is>
      </c>
      <c r="C15" s="34">
        <f>C6*12</f>
        <v/>
      </c>
      <c r="D15" s="33">
        <f>D6*12</f>
        <v/>
      </c>
      <c r="E15" s="32">
        <f>E6*12</f>
        <v/>
      </c>
    </row>
    <row r="16">
      <c r="B16" s="3" t="inlineStr">
        <is>
          <t>Operating expenses</t>
        </is>
      </c>
      <c r="C16" s="18">
        <f>-C15*C7</f>
        <v/>
      </c>
      <c r="D16" s="33">
        <f>-D15*D7</f>
        <v/>
      </c>
      <c r="E16" s="18">
        <f>-E15*E7</f>
        <v/>
      </c>
    </row>
    <row r="17">
      <c r="B17" s="24" t="inlineStr">
        <is>
          <t>Net operating income</t>
        </is>
      </c>
      <c r="C17" s="36">
        <f>SUM(C15:C16)</f>
        <v/>
      </c>
      <c r="D17" s="37">
        <f>SUM(D15:D16)</f>
        <v/>
      </c>
      <c r="E17" s="38">
        <f>SUM(E15:E16)</f>
        <v/>
      </c>
    </row>
    <row r="18">
      <c r="B18" s="30" t="inlineStr">
        <is>
          <t>Unlevered yield on cost</t>
        </is>
      </c>
      <c r="C18" s="39">
        <f>C17/C13</f>
        <v/>
      </c>
      <c r="D18" s="40">
        <f>D17/D13</f>
        <v/>
      </c>
      <c r="E18" s="41">
        <f>E17/E13</f>
        <v/>
      </c>
    </row>
    <row r="19">
      <c r="B19" s="3" t="inlineStr">
        <is>
          <t>Eldercare payback, low facility case</t>
        </is>
      </c>
      <c r="C19" s="42">
        <f>C13/(AL_Low*12)</f>
        <v/>
      </c>
      <c r="D19" s="43">
        <f>D13/(AL_Low*12)</f>
        <v/>
      </c>
      <c r="E19" s="44">
        <f>E13/(AL_Low*12)</f>
        <v/>
      </c>
    </row>
    <row r="20">
      <c r="B20" s="3" t="inlineStr">
        <is>
          <t>Contribution to the company</t>
        </is>
      </c>
      <c r="C20" s="18">
        <f>C13*GM_Pct+Coord_Fee</f>
        <v/>
      </c>
      <c r="D20" s="33">
        <f>D13*GM_Pct+Coord_Fee</f>
        <v/>
      </c>
      <c r="E20" s="18">
        <f>E13*GM_Pct+Coord_Fee</f>
        <v/>
      </c>
    </row>
    <row r="21">
      <c r="B21" s="3" t="inlineStr">
        <is>
          <t>Breakeven units per year</t>
        </is>
      </c>
      <c r="C21" s="45">
        <f>Overhead_Y1/C20</f>
        <v/>
      </c>
      <c r="D21" s="46">
        <f>Overhead_Y1/D20</f>
        <v/>
      </c>
      <c r="E21" s="47">
        <f>Overhead_Y1/E20</f>
        <v/>
      </c>
    </row>
    <row r="23" ht="16" customHeight="1">
      <c r="B23" s="1" t="inlineStr">
        <is>
          <t>SENSITIVITY: UNLEVERED YIELD ON COST</t>
        </is>
      </c>
      <c r="C23" s="1" t="n"/>
      <c r="D23" s="1" t="n"/>
      <c r="E23" s="1" t="n"/>
      <c r="F23" s="1" t="n"/>
      <c r="G23" s="1" t="n"/>
      <c r="H23" s="1" t="n"/>
    </row>
    <row r="24">
      <c r="B24" s="48" t="inlineStr">
        <is>
          <t>All in cost  \  monthly rent</t>
        </is>
      </c>
      <c r="C24" s="49" t="n">
        <v>2800</v>
      </c>
      <c r="D24" s="49" t="n">
        <v>3100</v>
      </c>
      <c r="E24" s="49" t="n">
        <v>3400</v>
      </c>
      <c r="F24" s="49" t="n">
        <v>3700</v>
      </c>
      <c r="G24" s="49" t="n">
        <v>4000</v>
      </c>
    </row>
    <row r="25">
      <c r="B25" s="50" t="n">
        <v>318000</v>
      </c>
      <c r="C25" s="16">
        <f>C$24*12*(1-Opex_Pct)/$B25</f>
        <v/>
      </c>
      <c r="D25" s="51">
        <f>D$24*12*(1-Opex_Pct)/$B25</f>
        <v/>
      </c>
      <c r="E25" s="51">
        <f>E$24*12*(1-Opex_Pct)/$B25</f>
        <v/>
      </c>
      <c r="F25" s="51">
        <f>F$24*12*(1-Opex_Pct)/$B25</f>
        <v/>
      </c>
      <c r="G25" s="51">
        <f>G$24*12*(1-Opex_Pct)/$B25</f>
        <v/>
      </c>
    </row>
    <row r="26">
      <c r="B26" s="50" t="n">
        <v>345000</v>
      </c>
      <c r="C26" s="16">
        <f>C$24*12*(1-Opex_Pct)/$B26</f>
        <v/>
      </c>
      <c r="D26" s="16">
        <f>D$24*12*(1-Opex_Pct)/$B26</f>
        <v/>
      </c>
      <c r="E26" s="51">
        <f>E$24*12*(1-Opex_Pct)/$B26</f>
        <v/>
      </c>
      <c r="F26" s="51">
        <f>F$24*12*(1-Opex_Pct)/$B26</f>
        <v/>
      </c>
      <c r="G26" s="51">
        <f>G$24*12*(1-Opex_Pct)/$B26</f>
        <v/>
      </c>
    </row>
    <row r="27">
      <c r="B27" s="50" t="n">
        <v>376000</v>
      </c>
      <c r="C27" s="52">
        <f>C$24*12*(1-Opex_Pct)/$B27</f>
        <v/>
      </c>
      <c r="D27" s="16">
        <f>D$24*12*(1-Opex_Pct)/$B27</f>
        <v/>
      </c>
      <c r="E27" s="40">
        <f>E$24*12*(1-Opex_Pct)/$B27</f>
        <v/>
      </c>
      <c r="F27" s="51">
        <f>F$24*12*(1-Opex_Pct)/$B27</f>
        <v/>
      </c>
      <c r="G27" s="51">
        <f>G$24*12*(1-Opex_Pct)/$B27</f>
        <v/>
      </c>
    </row>
    <row r="28">
      <c r="B28" s="50" t="n">
        <v>410000</v>
      </c>
      <c r="C28" s="52">
        <f>C$24*12*(1-Opex_Pct)/$B28</f>
        <v/>
      </c>
      <c r="D28" s="52">
        <f>D$24*12*(1-Opex_Pct)/$B28</f>
        <v/>
      </c>
      <c r="E28" s="16">
        <f>E$24*12*(1-Opex_Pct)/$B28</f>
        <v/>
      </c>
      <c r="F28" s="16">
        <f>F$24*12*(1-Opex_Pct)/$B28</f>
        <v/>
      </c>
      <c r="G28" s="51">
        <f>G$24*12*(1-Opex_Pct)/$B28</f>
        <v/>
      </c>
    </row>
    <row r="29">
      <c r="B29" s="50" t="n">
        <v>455000</v>
      </c>
      <c r="C29" s="52">
        <f>C$24*12*(1-Opex_Pct)/$B29</f>
        <v/>
      </c>
      <c r="D29" s="52">
        <f>D$24*12*(1-Opex_Pct)/$B29</f>
        <v/>
      </c>
      <c r="E29" s="52">
        <f>E$24*12*(1-Opex_Pct)/$B29</f>
        <v/>
      </c>
      <c r="F29" s="16">
        <f>F$24*12*(1-Opex_Pct)/$B29</f>
        <v/>
      </c>
      <c r="G29" s="16">
        <f>G$24*12*(1-Opex_Pct)/$B29</f>
        <v/>
      </c>
    </row>
    <row r="31">
      <c r="B31" s="2" t="inlineStr">
        <is>
          <t>Base case is boxed with a dashed border. Cells shade light green at or above 8.0 percent and light red below the 6.5 percent hurdle. Shading is set at the base operating expense ratio and does not re-shade when inputs change.</t>
        </is>
      </c>
    </row>
  </sheetData>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2026-09-23T01:15:46Z</dcterms:created>
  <dcterms:modified xmlns:dcterms="http://purl.org/dc/terms/" xmlns:xsi="http://www.w3.org/2001/XMLSchema-instance" xsi:type="dcterms:W3CDTF">2026-09-23T01:15:46Z</dcterms:modified>
</cp:coreProperties>
</file>