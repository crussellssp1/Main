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09 Capital Stack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2" customWidth="1" min="4" max="4"/>
    <col width="30" customWidth="1" min="5" max="5"/>
    <col width="18" customWidth="1" min="6" max="6"/>
    <col width="7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v007 Value</t>
        </is>
      </c>
      <c r="E1" s="1" t="inlineStr">
        <is>
          <t>v009 Entry</t>
        </is>
      </c>
      <c r="F1" s="1" t="inlineStr">
        <is>
          <t>v009 Result</t>
        </is>
      </c>
      <c r="G1" s="1" t="inlineStr">
        <is>
          <t>Source / Basis</t>
        </is>
      </c>
    </row>
    <row r="2">
      <c r="A2" s="2" t="inlineStr">
        <is>
          <t>AB5</t>
        </is>
      </c>
      <c r="B2" s="2" t="inlineStr">
        <is>
          <t>Most Senior Spread</t>
        </is>
      </c>
      <c r="C2" s="2" t="inlineStr">
        <is>
          <t>Lakefront North</t>
        </is>
      </c>
      <c r="D2" s="2" t="n">
        <v>0.0334</v>
      </c>
      <c r="E2" s="2" t="inlineStr">
        <is>
          <t>N/A</t>
        </is>
      </c>
      <c r="F2" s="2" t="inlineStr">
        <is>
          <t>N/A</t>
        </is>
      </c>
      <c r="G2" s="2" t="inlineStr">
        <is>
          <t>ABF_2026Q3_PortfolioReview_vF.pdf deal terms: fixed 6.75% coupon, Spread N/A (3.34% was a valuation spread)</t>
        </is>
      </c>
    </row>
    <row r="3">
      <c r="A3" s="3" t="inlineStr">
        <is>
          <t>W6</t>
        </is>
      </c>
      <c r="B3" s="3" t="inlineStr">
        <is>
          <t>Most Senior Commitment</t>
        </is>
      </c>
      <c r="C3" s="3" t="inlineStr">
        <is>
          <t>Project Balboa</t>
        </is>
      </c>
      <c r="D3" s="3" t="n">
        <v>55000000</v>
      </c>
      <c r="E3" s="3" t="n">
        <v>41250000</v>
      </c>
      <c r="F3" s="3" t="n">
        <v>41250000</v>
      </c>
      <c r="G3" s="3" t="inlineStr">
        <is>
          <t>Balboa IC memo p.1/p.6: SSP Note A-1 $41.25M, senior to PCCP</t>
        </is>
      </c>
    </row>
    <row r="4">
      <c r="A4" s="2" t="inlineStr">
        <is>
          <t>AC6</t>
        </is>
      </c>
      <c r="B4" s="2" t="inlineStr">
        <is>
          <t>2nd Most Senior Position</t>
        </is>
      </c>
      <c r="C4" s="2" t="inlineStr">
        <is>
          <t>Project Balboa</t>
        </is>
      </c>
      <c r="D4" s="2" t="inlineStr">
        <is>
          <t>Common Equity</t>
        </is>
      </c>
      <c r="E4" s="2" t="inlineStr">
        <is>
          <t>B-Note</t>
        </is>
      </c>
      <c r="F4" s="2" t="inlineStr">
        <is>
          <t>B-Note</t>
        </is>
      </c>
      <c r="G4" s="2" t="inlineStr">
        <is>
          <t>Balboa IC memo p.4: PCCP retains subordinate Note A-2</t>
        </is>
      </c>
    </row>
    <row r="5">
      <c r="A5" s="3" t="inlineStr">
        <is>
          <t>AD6</t>
        </is>
      </c>
      <c r="B5" s="3" t="inlineStr">
        <is>
          <t>2nd Most Senior Commitment</t>
        </is>
      </c>
      <c r="C5" s="3" t="inlineStr">
        <is>
          <t>Project Balboa</t>
        </is>
      </c>
      <c r="D5" s="3">
        <f>T6-W6</f>
        <v/>
      </c>
      <c r="E5" s="3" t="n">
        <v>13750000</v>
      </c>
      <c r="F5" s="3" t="n">
        <v>13750000</v>
      </c>
      <c r="G5" s="3" t="inlineStr">
        <is>
          <t>Balboa IC memo p.6: Note A-2 $13.75M</t>
        </is>
      </c>
    </row>
    <row r="6">
      <c r="A6" s="2" t="inlineStr">
        <is>
          <t>AJ6</t>
        </is>
      </c>
      <c r="B6" s="2" t="inlineStr">
        <is>
          <t>3rd Most Senior Position</t>
        </is>
      </c>
      <c r="C6" s="2" t="inlineStr">
        <is>
          <t>Project Balboa</t>
        </is>
      </c>
      <c r="D6" s="2" t="n"/>
      <c r="E6" s="2" t="inlineStr">
        <is>
          <t>Common Equity</t>
        </is>
      </c>
      <c r="F6" s="2" t="inlineStr">
        <is>
          <t>Common Equity</t>
        </is>
      </c>
      <c r="G6" s="2" t="inlineStr">
        <is>
          <t>Common equity = appraised value less debt</t>
        </is>
      </c>
    </row>
    <row r="7">
      <c r="A7" s="3" t="inlineStr">
        <is>
          <t>AK6</t>
        </is>
      </c>
      <c r="B7" s="3" t="inlineStr">
        <is>
          <t>3rd Most Senior Commitment</t>
        </is>
      </c>
      <c r="C7" s="3" t="inlineStr">
        <is>
          <t>Project Balboa</t>
        </is>
      </c>
      <c r="D7" s="3" t="n"/>
      <c r="E7" s="3">
        <f>T6-W6-AD6</f>
        <v/>
      </c>
      <c r="F7" s="3" t="n">
        <v>50800000</v>
      </c>
      <c r="G7" s="3" t="inlineStr">
        <is>
          <t>Common equity = appraised value less debt</t>
        </is>
      </c>
    </row>
    <row r="8">
      <c r="A8" s="2" t="inlineStr">
        <is>
          <t>AL6</t>
        </is>
      </c>
      <c r="B8" s="2" t="inlineStr">
        <is>
          <t>3rd Most Senior Detachment Point</t>
        </is>
      </c>
      <c r="C8" s="2" t="inlineStr">
        <is>
          <t>Project Balboa</t>
        </is>
      </c>
      <c r="D8" s="2" t="n"/>
      <c r="E8" s="2">
        <f>IF(OR(AJ6="",AJ6="N/A"),"N/A",AF6)</f>
        <v/>
      </c>
      <c r="F8" s="2" t="n">
        <v>100</v>
      </c>
      <c r="G8" s="2" t="inlineStr">
        <is>
          <t>Standard layer formula (same as row 14)</t>
        </is>
      </c>
    </row>
    <row r="9">
      <c r="A9" s="3" t="inlineStr">
        <is>
          <t>AM6</t>
        </is>
      </c>
      <c r="B9" s="3" t="inlineStr">
        <is>
          <t>3rd Most Senior Attachment Point</t>
        </is>
      </c>
      <c r="C9" s="3" t="inlineStr">
        <is>
          <t>Project Balboa</t>
        </is>
      </c>
      <c r="D9" s="3" t="n"/>
      <c r="E9" s="3">
        <f>IF(OR(AJ6="",AJ6="N/A",AJ6="Common Equity",AJ6="Builder Deposit / Equity",N($R6)=0),"N/A",SUM($W6,$AD6,$AK6)/$R6*100)</f>
        <v/>
      </c>
      <c r="F9" s="3" t="inlineStr">
        <is>
          <t>N/A</t>
        </is>
      </c>
      <c r="G9" s="3" t="inlineStr">
        <is>
          <t>Standard layer formula (same as row 14)</t>
        </is>
      </c>
    </row>
    <row r="10">
      <c r="A10" s="2" t="inlineStr">
        <is>
          <t>AN6</t>
        </is>
      </c>
      <c r="B10" s="2" t="inlineStr">
        <is>
          <t>3rd Most Senior Advance Rate</t>
        </is>
      </c>
      <c r="C10" s="2" t="inlineStr">
        <is>
          <t>Project Balboa</t>
        </is>
      </c>
      <c r="D10" s="2" t="n"/>
      <c r="E10" s="2">
        <f>IF(OR(AJ6="",AJ6="N/A",AJ6="Common Equity",AJ6="Builder Deposit / Equity",N($R6)=0),"N/A",SUM($W6,$AD6,$AK6)/$R6*100)</f>
        <v/>
      </c>
      <c r="F10" s="2" t="inlineStr">
        <is>
          <t>N/A</t>
        </is>
      </c>
      <c r="G10" s="2" t="inlineStr">
        <is>
          <t>Standard layer formula (same as row 14)</t>
        </is>
      </c>
    </row>
    <row r="11">
      <c r="A11" s="3" t="inlineStr">
        <is>
          <t>AO6</t>
        </is>
      </c>
      <c r="B11" s="3" t="inlineStr">
        <is>
          <t>3rd Most Senior LTV</t>
        </is>
      </c>
      <c r="C11" s="3" t="inlineStr">
        <is>
          <t>Project Balboa</t>
        </is>
      </c>
      <c r="D11" s="3" t="n"/>
      <c r="E11" s="3">
        <f>IF(OR(AJ6="",AJ6="N/A",N($T6)=0),"N/A",SUM($W6,$AD6,$AK6)/$T6*100)</f>
        <v/>
      </c>
      <c r="F11" s="3" t="n">
        <v>100</v>
      </c>
      <c r="G11" s="3" t="inlineStr">
        <is>
          <t>Standard layer formula (same as row 14)</t>
        </is>
      </c>
    </row>
    <row r="12">
      <c r="A12" s="2" t="inlineStr">
        <is>
          <t>AP6</t>
        </is>
      </c>
      <c r="B12" s="2" t="inlineStr">
        <is>
          <t>3rd Most Senior Spread</t>
        </is>
      </c>
      <c r="C12" s="2" t="inlineStr">
        <is>
          <t>Project Balboa</t>
        </is>
      </c>
      <c r="D12" s="2" t="n"/>
      <c r="E12" s="2" t="inlineStr">
        <is>
          <t>N/A</t>
        </is>
      </c>
      <c r="F12" s="2" t="inlineStr">
        <is>
          <t>N/A</t>
        </is>
      </c>
      <c r="G12" s="2" t="inlineStr">
        <is>
          <t>Common equity, no spread</t>
        </is>
      </c>
    </row>
    <row r="13">
      <c r="A13" s="3" t="inlineStr">
        <is>
          <t>AI7</t>
        </is>
      </c>
      <c r="B13" s="3" t="inlineStr">
        <is>
          <t>2nd Most Senior Spread</t>
        </is>
      </c>
      <c r="C13" s="3" t="inlineStr">
        <is>
          <t>Project Cubic</t>
        </is>
      </c>
      <c r="D13" s="3" t="inlineStr">
        <is>
          <t>N/A</t>
        </is>
      </c>
      <c r="E13" s="3" t="n">
        <v>0.0505</v>
      </c>
      <c r="F13" s="3" t="n">
        <v>0.0505</v>
      </c>
      <c r="G13" s="3" t="inlineStr">
        <is>
          <t>Cubic IC Memo vF Key Terms: Mezzanine SOFR + 5.05%</t>
        </is>
      </c>
    </row>
    <row r="14">
      <c r="A14" s="2" t="inlineStr">
        <is>
          <t>K7</t>
        </is>
      </c>
      <c r="B14" s="2" t="inlineStr">
        <is>
          <t>Purchase Price</t>
        </is>
      </c>
      <c r="C14" s="2" t="inlineStr">
        <is>
          <t>Project Cubic</t>
        </is>
      </c>
      <c r="D14" s="2" t="n">
        <v>0.9481000000000001</v>
      </c>
      <c r="E14" s="2" t="n">
        <v>0.9465</v>
      </c>
      <c r="F14" s="2" t="n">
        <v>0.9465</v>
      </c>
      <c r="G14" s="2" t="inlineStr">
        <is>
          <t>Cubic_Valcom_4Q2025: Sixth Street price 94.65% of par</t>
        </is>
      </c>
    </row>
    <row r="15">
      <c r="A15" s="3" t="inlineStr">
        <is>
          <t>AI8</t>
        </is>
      </c>
      <c r="B15" s="3" t="inlineStr">
        <is>
          <t>2nd Most Senior Spread</t>
        </is>
      </c>
      <c r="C15" s="3" t="inlineStr">
        <is>
          <t>Project Eyas</t>
        </is>
      </c>
      <c r="D15" s="3" t="n">
        <v>0.0525</v>
      </c>
      <c r="E15" s="3" t="n">
        <v>0.0575</v>
      </c>
      <c r="F15" s="3" t="n">
        <v>0.0575</v>
      </c>
      <c r="G15" s="3" t="inlineStr">
        <is>
          <t>Eyas IC Memo vF: Mezzanine SOFR + 5.75%</t>
        </is>
      </c>
    </row>
    <row r="16">
      <c r="A16" s="2" t="inlineStr">
        <is>
          <t>K9</t>
        </is>
      </c>
      <c r="B16" s="2" t="inlineStr">
        <is>
          <t>Purchase Price</t>
        </is>
      </c>
      <c r="C16" s="2" t="inlineStr">
        <is>
          <t>Project Stripe</t>
        </is>
      </c>
      <c r="D16" s="2" t="n">
        <v>0.925</v>
      </c>
      <c r="E16" s="2" t="n">
        <v>0.9225</v>
      </c>
      <c r="F16" s="2" t="n">
        <v>0.9225</v>
      </c>
      <c r="G16" s="2" t="inlineStr">
        <is>
          <t>Stripe IC Memo vF p.1 and PR: 92.25% of par</t>
        </is>
      </c>
    </row>
    <row r="17">
      <c r="A17" s="3" t="inlineStr">
        <is>
          <t>T9</t>
        </is>
      </c>
      <c r="B17" s="3" t="inlineStr">
        <is>
          <t>Total Appraised Value</t>
        </is>
      </c>
      <c r="C17" s="3" t="inlineStr">
        <is>
          <t>Project Stripe</t>
        </is>
      </c>
      <c r="D17" s="3" t="n">
        <v>868454258.6750789</v>
      </c>
      <c r="E17" s="3" t="n">
        <v>825300000</v>
      </c>
      <c r="F17" s="3" t="n">
        <v>825300000</v>
      </c>
      <c r="G17" s="3" t="inlineStr">
        <is>
          <t>Stripe IC Memo vF sale comps: property appraisals 110.0+51.0+148.4+246.0+55.1+214.8 = $825.3M</t>
        </is>
      </c>
    </row>
    <row r="18">
      <c r="A18" s="2" t="inlineStr">
        <is>
          <t>AD10</t>
        </is>
      </c>
      <c r="B18" s="2" t="inlineStr">
        <is>
          <t>2nd Most Senior Commitment</t>
        </is>
      </c>
      <c r="C18" s="2" t="inlineStr">
        <is>
          <t>Project Bellevue</t>
        </is>
      </c>
      <c r="D18" s="2">
        <f>T10-W10</f>
        <v/>
      </c>
      <c r="E18" s="2" t="n">
        <v>12000000</v>
      </c>
      <c r="F18" s="2" t="n">
        <v>12000000</v>
      </c>
      <c r="G18" s="2" t="inlineStr">
        <is>
          <t>ABF_2026Q3_PortfolioReview_vF.pdf Bellevue S&amp;U and IC Memo v11: Preferred Equity $12.0M</t>
        </is>
      </c>
    </row>
    <row r="19">
      <c r="A19" s="3" t="inlineStr">
        <is>
          <t>W14</t>
        </is>
      </c>
      <c r="B19" s="3" t="inlineStr">
        <is>
          <t>Most Senior Commitment</t>
        </is>
      </c>
      <c r="C19" s="3" t="inlineStr">
        <is>
          <t>Project Grand Bay Hotel San Francisco</t>
        </is>
      </c>
      <c r="D19" s="3">
        <f>41700000+7000000</f>
        <v/>
      </c>
      <c r="E19" s="3">
        <f>41650000+7000000</f>
        <v/>
      </c>
      <c r="F19" s="3" t="n">
        <v>48650000</v>
      </c>
      <c r="G19" s="3" t="inlineStr">
        <is>
          <t>ABF_2026Q3_PortfolioReview_vF.pdf Santander repo $41.65M initial + $7.0M future = $48.65M</t>
        </is>
      </c>
    </row>
    <row r="20">
      <c r="A20" s="2" t="inlineStr">
        <is>
          <t>AC14</t>
        </is>
      </c>
      <c r="B20" s="2" t="inlineStr">
        <is>
          <t>2nd Most Senior Position</t>
        </is>
      </c>
      <c r="C20" s="2" t="inlineStr">
        <is>
          <t>Project Grand Bay Hotel San Francisco</t>
        </is>
      </c>
      <c r="D20" s="2" t="inlineStr">
        <is>
          <t>B-Note</t>
        </is>
      </c>
      <c r="E20" s="2" t="inlineStr">
        <is>
          <t>Whole Loan (SSP Retained)</t>
        </is>
      </c>
      <c r="F20" s="2" t="inlineStr">
        <is>
          <t>Whole Loan (SSP Retained)</t>
        </is>
      </c>
      <c r="G20" s="2" t="inlineStr">
        <is>
          <t>ABF_2026Q3_PortfolioReview_vF.pdf SSP retained interest in the $69.5M whole loan below the repo (no B-Note)</t>
        </is>
      </c>
    </row>
    <row r="21">
      <c r="A21" s="3" t="inlineStr">
        <is>
          <t>AD14</t>
        </is>
      </c>
      <c r="B21" s="3" t="inlineStr">
        <is>
          <t>2nd Most Senior Commitment</t>
        </is>
      </c>
      <c r="C21" s="3" t="inlineStr">
        <is>
          <t>Project Grand Bay Hotel San Francisco</t>
        </is>
      </c>
      <c r="D21" s="3">
        <f>T14-W14</f>
        <v/>
      </c>
      <c r="E21" s="3">
        <f>H14-W14</f>
        <v/>
      </c>
      <c r="F21" s="3" t="n">
        <v>20850000</v>
      </c>
      <c r="G21" s="3" t="inlineStr">
        <is>
          <t>SSP $69.5M whole loan less repo = $20.85M retained</t>
        </is>
      </c>
    </row>
    <row r="22">
      <c r="A22" s="2" t="inlineStr">
        <is>
          <t>AI14</t>
        </is>
      </c>
      <c r="B22" s="2" t="inlineStr">
        <is>
          <t>2nd Most Senior Spread</t>
        </is>
      </c>
      <c r="C22" s="2" t="inlineStr">
        <is>
          <t>Project Grand Bay Hotel San Francisco</t>
        </is>
      </c>
      <c r="D22" s="2" t="n">
        <v>0.11</v>
      </c>
      <c r="E22" s="2" t="n">
        <v>0.0515</v>
      </c>
      <c r="F22" s="2" t="n">
        <v>0.0515</v>
      </c>
      <c r="G22" s="2" t="inlineStr">
        <is>
          <t>ABF_2026Q3_PortfolioReview_vF.pdf whole loan SOFR + 5.15% (replaces unsupported 11%)</t>
        </is>
      </c>
    </row>
    <row r="23">
      <c r="A23" s="3" t="inlineStr">
        <is>
          <t>AK14</t>
        </is>
      </c>
      <c r="B23" s="3" t="inlineStr">
        <is>
          <t>3rd Most Senior Commitment</t>
        </is>
      </c>
      <c r="C23" s="3" t="inlineStr">
        <is>
          <t>Project Grand Bay Hotel San Francisco</t>
        </is>
      </c>
      <c r="D23" s="3">
        <f>T14-W14-AD14</f>
        <v/>
      </c>
      <c r="E23" s="3">
        <f>12500000+9000000</f>
        <v/>
      </c>
      <c r="F23" s="3" t="n">
        <v>21500000</v>
      </c>
      <c r="G23" s="3" t="inlineStr">
        <is>
          <t>ABF_2026Q3_PortfolioReview_vF.pdf Grand Bay cap table: borrower Preferred Equity $12.5M + $9.0M future</t>
        </is>
      </c>
    </row>
    <row r="24">
      <c r="A24" s="2" t="inlineStr">
        <is>
          <t>AC15</t>
        </is>
      </c>
      <c r="B24" s="2" t="inlineStr">
        <is>
          <t>2nd Most Senior Position</t>
        </is>
      </c>
      <c r="C24" s="2" t="inlineStr">
        <is>
          <t>Crystal Springs Resort</t>
        </is>
      </c>
      <c r="D24" s="2" t="inlineStr">
        <is>
          <t>Senior Mortgage</t>
        </is>
      </c>
      <c r="E24" s="2" t="inlineStr">
        <is>
          <t>Mezzanine</t>
        </is>
      </c>
      <c r="F24" s="2" t="inlineStr">
        <is>
          <t>Mezzanine</t>
        </is>
      </c>
      <c r="G24" s="2" t="inlineStr">
        <is>
          <t>Crystal Springs IC Memo: $23.0M Blackstone mezzanine loan</t>
        </is>
      </c>
    </row>
    <row r="25">
      <c r="A25" s="3" t="inlineStr">
        <is>
          <t>AI15</t>
        </is>
      </c>
      <c r="B25" s="3" t="inlineStr">
        <is>
          <t>2nd Most Senior Spread</t>
        </is>
      </c>
      <c r="C25" s="3" t="inlineStr">
        <is>
          <t>Crystal Springs Resort</t>
        </is>
      </c>
      <c r="D25" s="3" t="n">
        <v>0.0742</v>
      </c>
      <c r="E25" s="3" t="n">
        <v>0.074</v>
      </c>
      <c r="F25" s="3" t="n">
        <v>0.074</v>
      </c>
      <c r="G25" s="3" t="inlineStr">
        <is>
          <t>Crystal Springs IC Memo: Mezzanine SOFR + 7.40%</t>
        </is>
      </c>
    </row>
    <row r="26">
      <c r="A26" s="2" t="inlineStr">
        <is>
          <t>T16</t>
        </is>
      </c>
      <c r="B26" s="2" t="inlineStr">
        <is>
          <t>Total Appraised Value</t>
        </is>
      </c>
      <c r="C26" s="2" t="inlineStr">
        <is>
          <t>Alpine Village</t>
        </is>
      </c>
      <c r="D26" s="2" t="n">
        <v>76900000</v>
      </c>
      <c r="E26" s="2" t="n">
        <v>76000000</v>
      </c>
      <c r="F26" s="2" t="n">
        <v>76000000</v>
      </c>
      <c r="G26" s="2" t="inlineStr">
        <is>
          <t>Alpine Village IC Memo slide 8: CBRE draft as-is appraisal $76.0M</t>
        </is>
      </c>
    </row>
    <row r="27">
      <c r="A27" s="3" t="inlineStr">
        <is>
          <t>V21</t>
        </is>
      </c>
      <c r="B27" s="3" t="inlineStr">
        <is>
          <t>Most Senior Position</t>
        </is>
      </c>
      <c r="C27" s="3" t="inlineStr">
        <is>
          <t>Project Royalton Levered</t>
        </is>
      </c>
      <c r="D27" s="3" t="inlineStr">
        <is>
          <t>Senior Mortgage</t>
        </is>
      </c>
      <c r="E27" s="3" t="inlineStr">
        <is>
          <t>Senior Mortgage (Apollo A-Note)</t>
        </is>
      </c>
      <c r="F27" s="3" t="inlineStr">
        <is>
          <t>Senior Mortgage (Apollo A-Note)</t>
        </is>
      </c>
      <c r="G27" s="3" t="inlineStr">
        <is>
          <t>ABF_2026Q3_PortfolioReview_vF.pdf Royalton: Apollo purchased $112.2M of the A-Note</t>
        </is>
      </c>
    </row>
    <row r="28">
      <c r="A28" s="2" t="inlineStr">
        <is>
          <t>W21</t>
        </is>
      </c>
      <c r="B28" s="2" t="inlineStr">
        <is>
          <t>Most Senior Commitment</t>
        </is>
      </c>
      <c r="C28" s="2" t="inlineStr">
        <is>
          <t>Project Royalton Levered</t>
        </is>
      </c>
      <c r="D28" s="2" t="n">
        <v>133200000</v>
      </c>
      <c r="E28" s="2" t="n">
        <v>112200000</v>
      </c>
      <c r="F28" s="2" t="n">
        <v>112200000</v>
      </c>
      <c r="G28" s="2" t="inlineStr">
        <is>
          <t>ABF_2026Q3_PortfolioReview_vF.pdf Royalton: Apollo A-Note $112.2M at SOFR + 3.20%</t>
        </is>
      </c>
    </row>
    <row r="29">
      <c r="A29" s="3" t="inlineStr">
        <is>
          <t>AB21</t>
        </is>
      </c>
      <c r="B29" s="3" t="inlineStr">
        <is>
          <t>Most Senior Spread</t>
        </is>
      </c>
      <c r="C29" s="3" t="inlineStr">
        <is>
          <t>Project Royalton Levered</t>
        </is>
      </c>
      <c r="D29" s="3" t="n">
        <v>0.032</v>
      </c>
      <c r="E29" s="3" t="n">
        <v>0.032</v>
      </c>
      <c r="F29" s="3" t="n">
        <v>0.032</v>
      </c>
      <c r="G29" s="3" t="inlineStr">
        <is>
          <t>ABF_2026Q3_PortfolioReview_vF.pdf Royalton: A-Note SOFR + 3.20%</t>
        </is>
      </c>
    </row>
    <row r="30">
      <c r="A30" s="2" t="inlineStr">
        <is>
          <t>AC21</t>
        </is>
      </c>
      <c r="B30" s="2" t="inlineStr">
        <is>
          <t>2nd Most Senior Position</t>
        </is>
      </c>
      <c r="C30" s="2" t="inlineStr">
        <is>
          <t>Project Royalton Levered</t>
        </is>
      </c>
      <c r="D30" s="2" t="inlineStr">
        <is>
          <t>B-Note</t>
        </is>
      </c>
      <c r="E30" s="2" t="inlineStr">
        <is>
          <t>Senior Mortgage (SSP A-Note)</t>
        </is>
      </c>
      <c r="F30" s="2" t="inlineStr">
        <is>
          <t>Senior Mortgage (SSP A-Note)</t>
        </is>
      </c>
      <c r="G30" s="2" t="inlineStr">
        <is>
          <t>ABF_2026Q3_PortfolioReview_vF.pdf Royalton: SSP retained A-Note $21.0M</t>
        </is>
      </c>
    </row>
    <row r="31">
      <c r="A31" s="3" t="inlineStr">
        <is>
          <t>AD21</t>
        </is>
      </c>
      <c r="B31" s="3" t="inlineStr">
        <is>
          <t>2nd Most Senior Commitment</t>
        </is>
      </c>
      <c r="C31" s="3" t="inlineStr">
        <is>
          <t>Project Royalton Levered</t>
        </is>
      </c>
      <c r="D31" s="3" t="n">
        <v>88800000</v>
      </c>
      <c r="E31" s="3" t="n">
        <v>21000000</v>
      </c>
      <c r="F31" s="3" t="n">
        <v>21000000</v>
      </c>
      <c r="G31" s="3" t="inlineStr">
        <is>
          <t>ABF_2026Q3_PortfolioReview_vF.pdf Royalton: SSP retained A-Note $21.0M</t>
        </is>
      </c>
    </row>
    <row r="32">
      <c r="A32" s="2" t="inlineStr">
        <is>
          <t>AI21</t>
        </is>
      </c>
      <c r="B32" s="2" t="inlineStr">
        <is>
          <t>2nd Most Senior Spread</t>
        </is>
      </c>
      <c r="C32" s="2" t="inlineStr">
        <is>
          <t>Project Royalton Levered</t>
        </is>
      </c>
      <c r="D32" s="2" t="n">
        <v>0.142</v>
      </c>
      <c r="E32" s="2" t="n">
        <v>0.032</v>
      </c>
      <c r="F32" s="2" t="n">
        <v>0.032</v>
      </c>
      <c r="G32" s="2" t="inlineStr">
        <is>
          <t>ABF_2026Q3_PortfolioReview_vF.pdf Royalton: A-Note SOFR + 3.20%</t>
        </is>
      </c>
    </row>
    <row r="33">
      <c r="A33" s="3" t="inlineStr">
        <is>
          <t>AJ21</t>
        </is>
      </c>
      <c r="B33" s="3" t="inlineStr">
        <is>
          <t>3rd Most Senior Position</t>
        </is>
      </c>
      <c r="C33" s="3" t="inlineStr">
        <is>
          <t>Project Royalton Levered</t>
        </is>
      </c>
      <c r="D33" s="3" t="inlineStr">
        <is>
          <t>Common Equity</t>
        </is>
      </c>
      <c r="E33" s="3" t="inlineStr">
        <is>
          <t>B-Note</t>
        </is>
      </c>
      <c r="F33" s="3" t="inlineStr">
        <is>
          <t>B-Note</t>
        </is>
      </c>
      <c r="G33" s="3" t="inlineStr">
        <is>
          <t>ABF_2026Q3_PortfolioReview_vF.pdf Royalton: SSP B-Note $88.8M</t>
        </is>
      </c>
    </row>
    <row r="34">
      <c r="A34" s="2" t="inlineStr">
        <is>
          <t>AK21</t>
        </is>
      </c>
      <c r="B34" s="2" t="inlineStr">
        <is>
          <t>3rd Most Senior Commitment</t>
        </is>
      </c>
      <c r="C34" s="2" t="inlineStr">
        <is>
          <t>Project Royalton Levered</t>
        </is>
      </c>
      <c r="D34" s="2">
        <f>T21-W21-AD21</f>
        <v/>
      </c>
      <c r="E34" s="2" t="n">
        <v>88800000</v>
      </c>
      <c r="F34" s="2" t="n">
        <v>88800000</v>
      </c>
      <c r="G34" s="2" t="inlineStr">
        <is>
          <t>ABF_2026Q3_PortfolioReview_vF.pdf Royalton: SSP B-Note $88.8M</t>
        </is>
      </c>
    </row>
    <row r="35">
      <c r="A35" s="3" t="inlineStr">
        <is>
          <t>AP21</t>
        </is>
      </c>
      <c r="B35" s="3" t="inlineStr">
        <is>
          <t>3rd Most Senior Spread</t>
        </is>
      </c>
      <c r="C35" s="3" t="inlineStr">
        <is>
          <t>Project Royalton Levered</t>
        </is>
      </c>
      <c r="D35" s="3" t="inlineStr">
        <is>
          <t>N/A</t>
        </is>
      </c>
      <c r="E35" s="3" t="n">
        <v>0.142</v>
      </c>
      <c r="F35" s="3" t="n">
        <v>0.142</v>
      </c>
      <c r="G35" s="3" t="inlineStr">
        <is>
          <t>ABF_2026Q3_PortfolioReview_vF.pdf Royalton: B-Note SOFR + 14.20%</t>
        </is>
      </c>
    </row>
    <row r="36">
      <c r="A36" s="2" t="inlineStr">
        <is>
          <t>AQ21</t>
        </is>
      </c>
      <c r="B36" s="2" t="inlineStr">
        <is>
          <t>4th Most Senior Position</t>
        </is>
      </c>
      <c r="C36" s="2" t="inlineStr">
        <is>
          <t>Project Royalton Levered</t>
        </is>
      </c>
      <c r="D36" s="2" t="n"/>
      <c r="E36" s="2" t="inlineStr">
        <is>
          <t>Common Equity</t>
        </is>
      </c>
      <c r="F36" s="2" t="inlineStr">
        <is>
          <t>Common Equity</t>
        </is>
      </c>
      <c r="G36" s="2" t="inlineStr">
        <is>
          <t>Common equity = appraised value less debt</t>
        </is>
      </c>
    </row>
    <row r="37">
      <c r="A37" s="3" t="inlineStr">
        <is>
          <t>AR21</t>
        </is>
      </c>
      <c r="B37" s="3" t="inlineStr">
        <is>
          <t>4th Most Senior Commitment</t>
        </is>
      </c>
      <c r="C37" s="3" t="inlineStr">
        <is>
          <t>Project Royalton Levered</t>
        </is>
      </c>
      <c r="D37" s="3" t="n"/>
      <c r="E37" s="3">
        <f>T21-SUM(W21,AD21,AK21)</f>
        <v/>
      </c>
      <c r="F37" s="3" t="n">
        <v>166791593.695272</v>
      </c>
      <c r="G37" s="3" t="inlineStr">
        <is>
          <t>Common equity = appraised value less debt</t>
        </is>
      </c>
    </row>
    <row r="38">
      <c r="A38" s="2" t="inlineStr">
        <is>
          <t>AS21</t>
        </is>
      </c>
      <c r="B38" s="2" t="inlineStr">
        <is>
          <t>4th Most Senior Detachment Point</t>
        </is>
      </c>
      <c r="C38" s="2" t="inlineStr">
        <is>
          <t>Project Royalton Levered</t>
        </is>
      </c>
      <c r="D38" s="2" t="n"/>
      <c r="E38" s="2">
        <f>IF(OR(AQ21="",AQ21="N/A"),"N/A",AM21)</f>
        <v/>
      </c>
      <c r="F38" s="2" t="n">
        <v>100</v>
      </c>
      <c r="G38" s="2" t="inlineStr">
        <is>
          <t>Standard layer formula (same as row 14)</t>
        </is>
      </c>
    </row>
    <row r="39">
      <c r="A39" s="3" t="inlineStr">
        <is>
          <t>AT21</t>
        </is>
      </c>
      <c r="B39" s="3" t="inlineStr">
        <is>
          <t>4th Most Senior Attachment Point</t>
        </is>
      </c>
      <c r="C39" s="3" t="inlineStr">
        <is>
          <t>Project Royalton Levered</t>
        </is>
      </c>
      <c r="D39" s="3" t="n"/>
      <c r="E39" s="3">
        <f>IF(OR(AQ21="",AQ21="N/A",AQ21="Common Equity",AQ21="Builder Deposit / Equity",N($R21)=0),"N/A",SUM($W21,$AD21,$AK21,$AR21)/$R21*100)</f>
        <v/>
      </c>
      <c r="F39" s="3" t="inlineStr">
        <is>
          <t>N/A</t>
        </is>
      </c>
      <c r="G39" s="3" t="inlineStr">
        <is>
          <t>Standard layer formula (same as row 14)</t>
        </is>
      </c>
    </row>
    <row r="40">
      <c r="A40" s="2" t="inlineStr">
        <is>
          <t>AU21</t>
        </is>
      </c>
      <c r="B40" s="2" t="inlineStr">
        <is>
          <t>4th Most Senior Advance Rate</t>
        </is>
      </c>
      <c r="C40" s="2" t="inlineStr">
        <is>
          <t>Project Royalton Levered</t>
        </is>
      </c>
      <c r="D40" s="2" t="n"/>
      <c r="E40" s="2">
        <f>IF(OR(AQ21="",AQ21="N/A",AQ21="Common Equity",AQ21="Builder Deposit / Equity",N($R21)=0),"N/A",SUM($W21,$AD21,$AK21,$AR21)/$R21*100)</f>
        <v/>
      </c>
      <c r="F40" s="2" t="inlineStr">
        <is>
          <t>N/A</t>
        </is>
      </c>
      <c r="G40" s="2" t="inlineStr">
        <is>
          <t>Standard layer formula (same as row 14)</t>
        </is>
      </c>
    </row>
    <row r="41">
      <c r="A41" s="3" t="inlineStr">
        <is>
          <t>AV21</t>
        </is>
      </c>
      <c r="B41" s="3" t="inlineStr">
        <is>
          <t>4thMost Senior LTV</t>
        </is>
      </c>
      <c r="C41" s="3" t="inlineStr">
        <is>
          <t>Project Royalton Levered</t>
        </is>
      </c>
      <c r="D41" s="3" t="n"/>
      <c r="E41" s="3">
        <f>IF(OR(AQ21="",AQ21="N/A",N($T21)=0),"N/A",SUM($W21,$AD21,$AK21,$AR21)/$T21*100)</f>
        <v/>
      </c>
      <c r="F41" s="3" t="n">
        <v>100</v>
      </c>
      <c r="G41" s="3" t="inlineStr">
        <is>
          <t>Standard layer formula (same as row 14)</t>
        </is>
      </c>
    </row>
    <row r="42">
      <c r="A42" s="2" t="inlineStr">
        <is>
          <t>AW21</t>
        </is>
      </c>
      <c r="B42" s="2" t="inlineStr">
        <is>
          <t>4th Most Senior Spread</t>
        </is>
      </c>
      <c r="C42" s="2" t="inlineStr">
        <is>
          <t>Project Royalton Levered</t>
        </is>
      </c>
      <c r="D42" s="2" t="n"/>
      <c r="E42" s="2" t="inlineStr">
        <is>
          <t>N/A</t>
        </is>
      </c>
      <c r="F42" s="2" t="inlineStr">
        <is>
          <t>N/A</t>
        </is>
      </c>
      <c r="G42" s="2" t="inlineStr">
        <is>
          <t>Common equity, no spread</t>
        </is>
      </c>
    </row>
    <row r="43">
      <c r="A43" s="3" t="inlineStr">
        <is>
          <t>V22</t>
        </is>
      </c>
      <c r="B43" s="3" t="inlineStr">
        <is>
          <t>Most Senior Position</t>
        </is>
      </c>
      <c r="C43" s="3" t="inlineStr">
        <is>
          <t>Project Hearthstone Land</t>
        </is>
      </c>
      <c r="D43" s="3" t="inlineStr">
        <is>
          <t>Common Equity</t>
        </is>
      </c>
      <c r="E43" s="3" t="inlineStr">
        <is>
          <t>Repo/Warehouse</t>
        </is>
      </c>
      <c r="F43" s="3" t="inlineStr">
        <is>
          <t>Repo/Warehouse</t>
        </is>
      </c>
      <c r="G43" s="3" t="inlineStr">
        <is>
          <t>ABF_2026Q3_PortfolioReview_vF.pdf Hearthstone: Goldman Sachs facility</t>
        </is>
      </c>
    </row>
    <row r="44">
      <c r="A44" s="2" t="inlineStr">
        <is>
          <t>W22</t>
        </is>
      </c>
      <c r="B44" s="2" t="inlineStr">
        <is>
          <t>Most Senior Commitment</t>
        </is>
      </c>
      <c r="C44" s="2" t="inlineStr">
        <is>
          <t>Project Hearthstone Land</t>
        </is>
      </c>
      <c r="D44" s="2">
        <f>R22</f>
        <v/>
      </c>
      <c r="E44" s="2" t="n">
        <v>100400000</v>
      </c>
      <c r="F44" s="2" t="n">
        <v>100400000</v>
      </c>
      <c r="G44" s="2" t="inlineStr">
        <is>
          <t>ABF_2026Q3_PortfolioReview_vF.pdf Hearthstone: GS Facility Cap $100,400,000 ($62.1M drawn)</t>
        </is>
      </c>
    </row>
    <row r="45">
      <c r="A45" s="3" t="inlineStr">
        <is>
          <t>AB22</t>
        </is>
      </c>
      <c r="B45" s="3" t="inlineStr">
        <is>
          <t>Most Senior Spread</t>
        </is>
      </c>
      <c r="C45" s="3" t="inlineStr">
        <is>
          <t>Project Hearthstone Land</t>
        </is>
      </c>
      <c r="D45" s="3" t="n">
        <v>0.105</v>
      </c>
      <c r="E45" s="3" t="n">
        <v>0.0365</v>
      </c>
      <c r="F45" s="3" t="n">
        <v>0.0365</v>
      </c>
      <c r="G45" s="3" t="inlineStr">
        <is>
          <t>ABF_2026Q3_PortfolioReview_vF.pdf Hearthstone: GS facility 1M Term SOFR + 3.65%</t>
        </is>
      </c>
    </row>
    <row r="46">
      <c r="A46" s="2" t="inlineStr">
        <is>
          <t>AC22</t>
        </is>
      </c>
      <c r="B46" s="2" t="inlineStr">
        <is>
          <t>2nd Most Senior Position</t>
        </is>
      </c>
      <c r="C46" s="2" t="inlineStr">
        <is>
          <t>Project Hearthstone Land</t>
        </is>
      </c>
      <c r="D46" s="2" t="inlineStr">
        <is>
          <t>Builder Deposit / Equity</t>
        </is>
      </c>
      <c r="E46" s="2" t="inlineStr">
        <is>
          <t>Common Equity</t>
        </is>
      </c>
      <c r="F46" s="2" t="inlineStr">
        <is>
          <t>Common Equity</t>
        </is>
      </c>
      <c r="G46" s="2" t="inlineStr">
        <is>
          <t>ABF_2026Q3_PortfolioReview_vF.pdf Hearthstone: SSP 98.5% JV interest (common equity = appraised value less debt and builder deposits)</t>
        </is>
      </c>
    </row>
    <row r="47">
      <c r="A47" s="3" t="inlineStr">
        <is>
          <t>AD22</t>
        </is>
      </c>
      <c r="B47" s="3" t="inlineStr">
        <is>
          <t>2nd Most Senior Commitment</t>
        </is>
      </c>
      <c r="C47" s="3" t="inlineStr">
        <is>
          <t>Project Hearthstone Land</t>
        </is>
      </c>
      <c r="D47" s="3">
        <f>T22-W22</f>
        <v/>
      </c>
      <c r="E47" s="3">
        <f>T22-W22-AK22</f>
        <v/>
      </c>
      <c r="F47" s="3" t="n">
        <v>392572368</v>
      </c>
      <c r="G47" s="3" t="inlineStr">
        <is>
          <t>Common equity = appraised value less debt and builder deposits</t>
        </is>
      </c>
    </row>
    <row r="48">
      <c r="A48" s="2" t="inlineStr">
        <is>
          <t>AI22</t>
        </is>
      </c>
      <c r="B48" s="2" t="inlineStr">
        <is>
          <t>2nd Most Senior Spread</t>
        </is>
      </c>
      <c r="C48" s="2" t="inlineStr">
        <is>
          <t>Project Hearthstone Land</t>
        </is>
      </c>
      <c r="D48" s="2" t="inlineStr">
        <is>
          <t>N/A</t>
        </is>
      </c>
      <c r="E48" s="2" t="n">
        <v>0.107</v>
      </c>
      <c r="F48" s="2" t="n">
        <v>0.107</v>
      </c>
      <c r="G48" s="2" t="inlineStr">
        <is>
          <t>ABF_2026Q3_PortfolioReview_vF.pdf Hearthstone: W.A. gross coupon 10.7%</t>
        </is>
      </c>
    </row>
    <row r="49">
      <c r="A49" s="3" t="inlineStr">
        <is>
          <t>AJ22</t>
        </is>
      </c>
      <c r="B49" s="3" t="inlineStr">
        <is>
          <t>3rd Most Senior Position</t>
        </is>
      </c>
      <c r="C49" s="3" t="inlineStr">
        <is>
          <t>Project Hearthstone Land</t>
        </is>
      </c>
      <c r="D49" s="3" t="n"/>
      <c r="E49" s="3" t="inlineStr">
        <is>
          <t>Builder Deposit / Equity</t>
        </is>
      </c>
      <c r="F49" s="3" t="inlineStr">
        <is>
          <t>Builder Deposit / Equity</t>
        </is>
      </c>
      <c r="G49" s="3" t="inlineStr">
        <is>
          <t>ABF_2026Q3_PortfolioReview_vF.pdf Hearthstone: builder deposits</t>
        </is>
      </c>
    </row>
    <row r="50">
      <c r="A50" s="2" t="inlineStr">
        <is>
          <t>AK22</t>
        </is>
      </c>
      <c r="B50" s="2" t="inlineStr">
        <is>
          <t>3rd Most Senior Commitment</t>
        </is>
      </c>
      <c r="C50" s="2" t="inlineStr">
        <is>
          <t>Project Hearthstone Land</t>
        </is>
      </c>
      <c r="D50" s="2" t="n"/>
      <c r="E50" s="2" t="n">
        <v>51800000</v>
      </c>
      <c r="F50" s="2" t="n">
        <v>51800000</v>
      </c>
      <c r="G50" s="2" t="inlineStr">
        <is>
          <t>ABF_2026Q3_PortfolioReview_vF.pdf Hearthstone: builder deposits $51.8M (ABF positions subtotal)</t>
        </is>
      </c>
    </row>
    <row r="51">
      <c r="A51" s="3" t="inlineStr">
        <is>
          <t>AL22</t>
        </is>
      </c>
      <c r="B51" s="3" t="inlineStr">
        <is>
          <t>3rd Most Senior Detachment Point</t>
        </is>
      </c>
      <c r="C51" s="3" t="inlineStr">
        <is>
          <t>Project Hearthstone Land</t>
        </is>
      </c>
      <c r="D51" s="3" t="n"/>
      <c r="E51" s="3">
        <f>IF(OR(AJ22="",AJ22="N/A"),"N/A",AF22)</f>
        <v/>
      </c>
      <c r="F51" s="3" t="inlineStr">
        <is>
          <t>N/A</t>
        </is>
      </c>
      <c r="G51" s="3" t="inlineStr">
        <is>
          <t>Standard layer formula (same as row 14)</t>
        </is>
      </c>
    </row>
    <row r="52">
      <c r="A52" s="2" t="inlineStr">
        <is>
          <t>AM22</t>
        </is>
      </c>
      <c r="B52" s="2" t="inlineStr">
        <is>
          <t>3rd Most Senior Attachment Point</t>
        </is>
      </c>
      <c r="C52" s="2" t="inlineStr">
        <is>
          <t>Project Hearthstone Land</t>
        </is>
      </c>
      <c r="D52" s="2" t="n"/>
      <c r="E52" s="2">
        <f>IF(OR(AJ22="",AJ22="N/A",AJ22="Common Equity",AJ22="Builder Deposit / Equity",N($R22)=0),"N/A",SUM($W22,$AD22,$AK22)/$R22*100)</f>
        <v/>
      </c>
      <c r="F52" s="2" t="inlineStr">
        <is>
          <t>N/A</t>
        </is>
      </c>
      <c r="G52" s="2" t="inlineStr">
        <is>
          <t>Standard layer formula (same as row 14)</t>
        </is>
      </c>
    </row>
    <row r="53">
      <c r="A53" s="3" t="inlineStr">
        <is>
          <t>AN22</t>
        </is>
      </c>
      <c r="B53" s="3" t="inlineStr">
        <is>
          <t>3rd Most Senior Advance Rate</t>
        </is>
      </c>
      <c r="C53" s="3" t="inlineStr">
        <is>
          <t>Project Hearthstone Land</t>
        </is>
      </c>
      <c r="D53" s="3" t="n"/>
      <c r="E53" s="3">
        <f>IF(OR(AJ22="",AJ22="N/A",AJ22="Common Equity",AJ22="Builder Deposit / Equity",N($R22)=0),"N/A",SUM($W22,$AD22,$AK22)/$R22*100)</f>
        <v/>
      </c>
      <c r="F53" s="3" t="inlineStr">
        <is>
          <t>N/A</t>
        </is>
      </c>
      <c r="G53" s="3" t="inlineStr">
        <is>
          <t>Standard layer formula (same as row 14)</t>
        </is>
      </c>
    </row>
    <row r="54">
      <c r="A54" s="2" t="inlineStr">
        <is>
          <t>AO22</t>
        </is>
      </c>
      <c r="B54" s="2" t="inlineStr">
        <is>
          <t>3rd Most Senior LTV</t>
        </is>
      </c>
      <c r="C54" s="2" t="inlineStr">
        <is>
          <t>Project Hearthstone Land</t>
        </is>
      </c>
      <c r="D54" s="2" t="n"/>
      <c r="E54" s="2">
        <f>IF(OR(AJ22="",AJ22="N/A",N($T22)=0),"N/A",SUM($W22,$AD22,$AK22)/$T22*100)</f>
        <v/>
      </c>
      <c r="F54" s="2" t="n">
        <v>100</v>
      </c>
      <c r="G54" s="2" t="inlineStr">
        <is>
          <t>Standard layer formula (same as row 14)</t>
        </is>
      </c>
    </row>
    <row r="55">
      <c r="A55" s="3" t="inlineStr">
        <is>
          <t>AP22</t>
        </is>
      </c>
      <c r="B55" s="3" t="inlineStr">
        <is>
          <t>3rd Most Senior Spread</t>
        </is>
      </c>
      <c r="C55" s="3" t="inlineStr">
        <is>
          <t>Project Hearthstone Land</t>
        </is>
      </c>
      <c r="D55" s="3" t="n"/>
      <c r="E55" s="3" t="inlineStr">
        <is>
          <t>N/A</t>
        </is>
      </c>
      <c r="F55" s="3" t="inlineStr">
        <is>
          <t>N/A</t>
        </is>
      </c>
      <c r="G55" s="3" t="inlineStr">
        <is>
          <t>Builder equity, no spread</t>
        </is>
      </c>
    </row>
    <row r="56">
      <c r="A56" s="2" t="inlineStr">
        <is>
          <t>AC32</t>
        </is>
      </c>
      <c r="B56" s="2" t="inlineStr">
        <is>
          <t>2nd Most Senior Position</t>
        </is>
      </c>
      <c r="C56" s="2" t="inlineStr">
        <is>
          <t>AHPT 2026-ATRM - Class E</t>
        </is>
      </c>
      <c r="D56" s="2" t="inlineStr">
        <is>
          <t>Junior Bonds</t>
        </is>
      </c>
      <c r="E56" s="2" t="inlineStr">
        <is>
          <t>Senior Bonds</t>
        </is>
      </c>
      <c r="F56" s="2" t="inlineStr">
        <is>
          <t>Senior Bonds</t>
        </is>
      </c>
      <c r="G56" s="2" t="inlineStr">
        <is>
          <t>Our class goes in the 2nd position slot, same label as rows 23-31 (AHPT OC: Class E $75.0M)</t>
        </is>
      </c>
    </row>
    <row r="57">
      <c r="A57" s="3" t="inlineStr">
        <is>
          <t>G32</t>
        </is>
      </c>
      <c r="B57" s="3" t="inlineStr">
        <is>
          <t>Legal Form (Position Report)</t>
        </is>
      </c>
      <c r="C57" s="3" t="inlineStr">
        <is>
          <t>AHPT 2026-ATRM - Class E</t>
        </is>
      </c>
      <c r="D57" s="3" t="inlineStr">
        <is>
          <t>CUSIP IG</t>
        </is>
      </c>
      <c r="E57" s="3" t="inlineStr">
        <is>
          <t>CUSIP Non-IG</t>
        </is>
      </c>
      <c r="F57" s="3" t="inlineStr">
        <is>
          <t>CUSIP Non-IG</t>
        </is>
      </c>
      <c r="G57" s="3" t="inlineStr">
        <is>
          <t>AHPT OC: Class E rated BB-(sf)</t>
        </is>
      </c>
    </row>
    <row r="58">
      <c r="A58" s="2" t="inlineStr">
        <is>
          <t>AC37</t>
        </is>
      </c>
      <c r="B58" s="2" t="inlineStr">
        <is>
          <t>2nd Most Senior Position</t>
        </is>
      </c>
      <c r="C58" s="2" t="inlineStr">
        <is>
          <t>Project AXMF 2025-SBRR1 Class C</t>
        </is>
      </c>
      <c r="D58" s="2" t="inlineStr">
        <is>
          <t>Junior Bonds</t>
        </is>
      </c>
      <c r="E58" s="2" t="inlineStr">
        <is>
          <t>Senior Bonds</t>
        </is>
      </c>
      <c r="F58" s="2" t="inlineStr">
        <is>
          <t>Senior Bonds</t>
        </is>
      </c>
      <c r="G58" s="2" t="inlineStr">
        <is>
          <t>Our class goes in the 2nd position slot, same label as rows 35-36</t>
        </is>
      </c>
    </row>
    <row r="59">
      <c r="A59" s="3" t="inlineStr">
        <is>
          <t>G37</t>
        </is>
      </c>
      <c r="B59" s="3" t="inlineStr">
        <is>
          <t>Legal Form (Position Report)</t>
        </is>
      </c>
      <c r="C59" s="3" t="inlineStr">
        <is>
          <t>Project AXMF 2025-SBRR1 Class C</t>
        </is>
      </c>
      <c r="D59" s="3" t="inlineStr">
        <is>
          <t>CUSIP IG</t>
        </is>
      </c>
      <c r="E59" s="3" t="inlineStr">
        <is>
          <t>CUSIP Non-IG</t>
        </is>
      </c>
      <c r="F59" s="3" t="inlineStr">
        <is>
          <t>CUSIP Non-IG</t>
        </is>
      </c>
      <c r="G59" s="3" t="inlineStr">
        <is>
          <t>AXMF ABF allocations email: Legal Form Cusip - Non IG (BB-)</t>
        </is>
      </c>
    </row>
    <row r="60">
      <c r="A60" s="2" t="inlineStr">
        <is>
          <t>H35</t>
        </is>
      </c>
      <c r="B60" s="2" t="inlineStr">
        <is>
          <t>SSP Commitment Amount</t>
        </is>
      </c>
      <c r="C60" s="2" t="inlineStr">
        <is>
          <t>Project AXMF 2025-SBRR1 Class A</t>
        </is>
      </c>
      <c r="D60" s="2">
        <f>8241945+4991945+73008055</f>
        <v/>
      </c>
      <c r="E60" s="2" t="n">
        <v>81250000</v>
      </c>
      <c r="F60" s="2" t="n">
        <v>81250000</v>
      </c>
      <c r="G60" s="2" t="inlineStr">
        <is>
          <t>RE_ AXMF 2025-SBRR1 - ABF Allocations.msg; PR: Class A initial $81.25M</t>
        </is>
      </c>
    </row>
    <row r="61">
      <c r="A61" s="3" t="inlineStr">
        <is>
          <t>I35</t>
        </is>
      </c>
      <c r="B61" s="3" t="inlineStr">
        <is>
          <t>SSP Initial Loan Balance</t>
        </is>
      </c>
      <c r="C61" s="3" t="inlineStr">
        <is>
          <t>Project AXMF 2025-SBRR1 Class A</t>
        </is>
      </c>
      <c r="D61" s="3">
        <f>8241945+4991945+73008055</f>
        <v/>
      </c>
      <c r="E61" s="3">
        <f>H35</f>
        <v/>
      </c>
      <c r="F61" s="3" t="n">
        <v>81250000</v>
      </c>
      <c r="G61" s="3" t="inlineStr">
        <is>
          <t>Same as commitment (fully funded)</t>
        </is>
      </c>
    </row>
    <row r="62">
      <c r="A62" s="2" t="inlineStr">
        <is>
          <t>H36</t>
        </is>
      </c>
      <c r="B62" s="2" t="inlineStr">
        <is>
          <t>SSP Commitment Amount</t>
        </is>
      </c>
      <c r="C62" s="2" t="inlineStr">
        <is>
          <t>Project AXMF 2025-SBRR1 Class B</t>
        </is>
      </c>
      <c r="D62" s="2">
        <f>4437970+2687970+39312030</f>
        <v/>
      </c>
      <c r="E62" s="2" t="n">
        <v>43750000</v>
      </c>
      <c r="F62" s="2" t="n">
        <v>43750000</v>
      </c>
      <c r="G62" s="2" t="inlineStr">
        <is>
          <t>RE_ AXMF 2025-SBRR1 - ABF Allocations.msg; PR: Class B initial $43.75M</t>
        </is>
      </c>
    </row>
    <row r="63">
      <c r="A63" s="3" t="inlineStr">
        <is>
          <t>I36</t>
        </is>
      </c>
      <c r="B63" s="3" t="inlineStr">
        <is>
          <t>SSP Initial Loan Balance</t>
        </is>
      </c>
      <c r="C63" s="3" t="inlineStr">
        <is>
          <t>Project AXMF 2025-SBRR1 Class B</t>
        </is>
      </c>
      <c r="D63" s="3">
        <f>4437970+2687970+39312030</f>
        <v/>
      </c>
      <c r="E63" s="3">
        <f>H36</f>
        <v/>
      </c>
      <c r="F63" s="3" t="n">
        <v>43750000</v>
      </c>
      <c r="G63" s="3" t="inlineStr">
        <is>
          <t>Same as commitment (fully funded)</t>
        </is>
      </c>
    </row>
    <row r="64">
      <c r="A64" s="2" t="inlineStr">
        <is>
          <t>AK19</t>
        </is>
      </c>
      <c r="B64" s="2" t="inlineStr">
        <is>
          <t>3rd Most Senior Commitment</t>
        </is>
      </c>
      <c r="C64" s="2" t="inlineStr">
        <is>
          <t>Project Scarlet Bay</t>
        </is>
      </c>
      <c r="D64" s="2">
        <f>S19-W19-AD19</f>
        <v/>
      </c>
      <c r="E64" s="2">
        <f>T19-W19-AD19</f>
        <v/>
      </c>
      <c r="F64" s="2" t="n">
        <v>66213565</v>
      </c>
      <c r="G64" s="2" t="inlineStr">
        <is>
          <t>User rule: common equity = appraised value less debt (was total cost less debt)</t>
        </is>
      </c>
    </row>
    <row r="65">
      <c r="A65" s="3" t="inlineStr">
        <is>
          <t>AK33</t>
        </is>
      </c>
      <c r="B65" s="3" t="inlineStr">
        <is>
          <t>3rd Most Senior Commitment</t>
        </is>
      </c>
      <c r="C65" s="3" t="inlineStr">
        <is>
          <t>Bridge Loan Trust</t>
        </is>
      </c>
      <c r="D65" s="3">
        <f>S33-W33-AD33</f>
        <v/>
      </c>
      <c r="E65" s="3">
        <f>T33-W33-AD33</f>
        <v/>
      </c>
      <c r="F65" s="3" t="n">
        <v>233447509.2455</v>
      </c>
      <c r="G65" s="3" t="inlineStr">
        <is>
          <t>User rule: common equity = appraised value less debt (was total cost less debt)</t>
        </is>
      </c>
    </row>
    <row r="66">
      <c r="A66" s="2" t="inlineStr">
        <is>
          <t>AK34</t>
        </is>
      </c>
      <c r="B66" s="2" t="inlineStr">
        <is>
          <t>3rd Most Senior Commitment</t>
        </is>
      </c>
      <c r="C66" s="2" t="inlineStr">
        <is>
          <t>Bridge Loan Trust - Residual Class B</t>
        </is>
      </c>
      <c r="D66" s="2">
        <f>S34-W34-AD34</f>
        <v/>
      </c>
      <c r="E66" s="2">
        <f>T34-W34-AD34</f>
        <v/>
      </c>
      <c r="F66" s="2" t="n">
        <v>233447509.2455</v>
      </c>
      <c r="G66" s="2" t="inlineStr">
        <is>
          <t>User rule: common equity = appraised value less debt (was total cost less debt)</t>
        </is>
      </c>
    </row>
    <row r="67">
      <c r="A67" s="3" t="inlineStr">
        <is>
          <t>AK38</t>
        </is>
      </c>
      <c r="B67" s="3" t="inlineStr">
        <is>
          <t>3rd Most Senior Commitment</t>
        </is>
      </c>
      <c r="C67" s="3" t="inlineStr">
        <is>
          <t>Chimera_Lake</t>
        </is>
      </c>
      <c r="D67" s="3">
        <f>S38-W38-AD38</f>
        <v/>
      </c>
      <c r="E67" s="3">
        <f>T38-W38-AD38</f>
        <v/>
      </c>
      <c r="F67" s="3" t="n">
        <v>88300000</v>
      </c>
      <c r="G67" s="3" t="inlineStr">
        <is>
          <t>User rule: common equity = appraised value less debt (was total cost less debt)</t>
        </is>
      </c>
    </row>
    <row r="68">
      <c r="A68" s="2" t="inlineStr">
        <is>
          <t>AD40</t>
        </is>
      </c>
      <c r="B68" s="2" t="inlineStr">
        <is>
          <t>2nd Most Senior Commitment</t>
        </is>
      </c>
      <c r="C68" s="2" t="inlineStr">
        <is>
          <t>Project Great Park Land Bank</t>
        </is>
      </c>
      <c r="D68" s="2">
        <f>S40-W40-AK40</f>
        <v/>
      </c>
      <c r="E68" s="2">
        <f>T40-W40-AK40</f>
        <v/>
      </c>
      <c r="F68" s="2" t="n">
        <v>108408062.29</v>
      </c>
      <c r="G68" s="2" t="inlineStr">
        <is>
          <t>User rule: common equity = appraised value less debt and builder deposits (was total cost based)</t>
        </is>
      </c>
    </row>
    <row r="69">
      <c r="A69" s="3" t="inlineStr">
        <is>
          <t>T38</t>
        </is>
      </c>
      <c r="B69" s="3" t="inlineStr">
        <is>
          <t>Total Appraised Value</t>
        </is>
      </c>
      <c r="C69" s="3" t="inlineStr">
        <is>
          <t>Chimera_Lake</t>
        </is>
      </c>
      <c r="D69" s="3" t="n">
        <v>177458866</v>
      </c>
      <c r="E69" s="3">
        <f>24000000+24700000+26800000+17100000+25600000+26000000+39000000+35300000+34000000+25800000</f>
        <v/>
      </c>
      <c r="F69" s="3" t="n">
        <v>278300000</v>
      </c>
      <c r="G69" s="3" t="inlineStr">
        <is>
          <t>IC Memo Lake v15 comps: sum of the 10 property appraisals ($278.3M); prior value was SSP NPV</t>
        </is>
      </c>
    </row>
    <row r="70">
      <c r="A70" s="2" t="inlineStr">
        <is>
          <t>S39</t>
        </is>
      </c>
      <c r="B70" s="2" t="inlineStr">
        <is>
          <t>Total Cost</t>
        </is>
      </c>
      <c r="C70" s="2" t="inlineStr">
        <is>
          <t>Project 3700M</t>
        </is>
      </c>
      <c r="D70" s="2" t="n">
        <v>152020242</v>
      </c>
      <c r="E70" s="2" t="n">
        <v>169140040</v>
      </c>
      <c r="F70" s="2" t="n">
        <v>169140040</v>
      </c>
      <c r="G70" s="2" t="inlineStr">
        <is>
          <t>3700M Quick Look Memo S&amp;U: fully committed total cost (incl. $17.1M capex)</t>
        </is>
      </c>
    </row>
    <row r="71">
      <c r="A71" s="3" t="inlineStr">
        <is>
          <t>T7</t>
        </is>
      </c>
      <c r="B71" s="3" t="inlineStr">
        <is>
          <t>Total Appraised Value</t>
        </is>
      </c>
      <c r="C71" s="3" t="inlineStr">
        <is>
          <t>Project Cubic</t>
        </is>
      </c>
      <c r="D71" s="3" t="n">
        <v>2480000000</v>
      </c>
      <c r="E71" s="3" t="inlineStr">
        <is>
          <t>(unchanged)</t>
        </is>
      </c>
      <c r="F71" s="3" t="n">
        <v>2480000000</v>
      </c>
      <c r="G71" s="3" t="inlineStr">
        <is>
          <t>Confirmed: Newmark portfolio appraisal for Citi, Portfolio Market Value $2,480,000,000 as is, 1/14/2022 (Box: Cubic/Received/Final/Third Party Reports/04.4.1 Portfolio Report). Stack kept at the matching 2022 basis ($1,435M / $415M)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2026-10-21T21:18:45Z</dcterms:created>
  <dcterms:modified xmlns:dcterms="http://purl.org/dc/terms/" xmlns:xsi="http://www.w3.org/2001/XMLSchema-instance" xsi:type="dcterms:W3CDTF">2026-10-21T21:18:45Z</dcterms:modified>
</cp:coreProperties>
</file>