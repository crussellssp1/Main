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ide by Side" sheetId="1" state="visible" r:id="rId3"/>
    <sheet name="Inputs" sheetId="2" state="visible" r:id="rId4"/>
    <sheet name="SSP CF" sheetId="3" state="visible" r:id="rId5"/>
    <sheet name="KKR CF" sheetId="4" state="visible" r:id="rId6"/>
    <sheet name="Monthly Colle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<sst xmlns="http://schemas.openxmlformats.org/spreadsheetml/2006/main" count="70" uniqueCount="60">
  <si>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SIDE BY SIDE: SELLING LP CASH FLOWS, SSP VS KKR (100% LP BASIS)</t>
  </si>
  <si>
    <t xml:space="preserve">Date</t>
  </si>
  <si>
    <t xml:space="preserve">SSP Model Cash Flow</t>
  </si>
  <si>
    <t xml:space="preserve">KKR Model Cash Flow (Row 63)</t>
  </si>
  <si>
    <t xml:space="preserve">Difference (KKR less SSP)</t>
  </si>
  <si>
    <t xml:space="preserve">Cumulative Difference</t>
  </si>
  <si>
    <t xml:space="preserve">Returns</t>
  </si>
  <si>
    <t xml:space="preserve">SSP</t>
  </si>
  <si>
    <t xml:space="preserve">KKR</t>
  </si>
  <si>
    <t xml:space="preserve">Difference</t>
  </si>
  <si>
    <t xml:space="preserve">Gross IRR</t>
  </si>
  <si>
    <t xml:space="preserve">Gross MOIC</t>
  </si>
  <si>
    <t xml:space="preserve">Net profit ($)</t>
  </si>
  <si>
    <t xml:space="preserve">IRR difference (bps)</t>
  </si>
  <si>
    <t xml:space="preserve">Calendar Year</t>
  </si>
  <si>
    <t xml:space="preserve">Total</t>
  </si>
  <si>
    <t xml:space="preserve">Set the toggles on Inputs (C13 and C14) to 2 and 1 to swap in KKR collections and add the cash release to the SSP stream. The IRR difference then shrinks to the timing convention residual. SSP stream: price paid on the closing date, selling LP share of fund collections paid on SSP quarter dates (each month paid in the first quarter date after it). KKR stream: Fwd Returns row 63, price at the transaction date, KKR timing and reserve. KKR figures are from the zero fee case at 50% price.</t>
  </si>
  <si>
    <t xml:space="preserve">SIDE BY SIDE CASH FLOW COMPARISON: INPUTS</t>
  </si>
  <si>
    <t xml:space="preserve">Assumption</t>
  </si>
  <si>
    <t xml:space="preserve">Value</t>
  </si>
  <si>
    <t xml:space="preserve">Notes</t>
  </si>
  <si>
    <t xml:space="preserve">Selling LP share of fund</t>
  </si>
  <si>
    <t xml:space="preserve">KKR Assumptions!D5 / SSP Inputs!D11 (both 35.4%)</t>
  </si>
  <si>
    <t xml:space="preserve">Investor NAV ($)</t>
  </si>
  <si>
    <t xml:space="preserve">Same in both: SSP Inputs!D8, KKR Fwd Returns!I42</t>
  </si>
  <si>
    <t xml:space="preserve">SSP purchase price (% of NAV)</t>
  </si>
  <si>
    <t xml:space="preserve">Set to 50% to match KKR. KKR side is pasted at 50%</t>
  </si>
  <si>
    <t xml:space="preserve">SSP closing / first distribution date</t>
  </si>
  <si>
    <t xml:space="preserve">SSP Inputs!D33</t>
  </si>
  <si>
    <t xml:space="preserve">KKR transaction date</t>
  </si>
  <si>
    <t xml:space="preserve">KKR Fwd Returns!I4</t>
  </si>
  <si>
    <t xml:space="preserve">KKR cash on hand at cutoff ($, 100% of fund)</t>
  </si>
  <si>
    <t xml:space="preserve">KKR Assumptions!D32</t>
  </si>
  <si>
    <t xml:space="preserve">Cash release date used in SSP stream</t>
  </si>
  <si>
    <t xml:space="preserve">Assumption: KKR pays it through quarterly timing, first release 3/31/2027</t>
  </si>
  <si>
    <t xml:space="preserve">Toggle: SSP collections source (1 = SSP Intex, 2 = KKR collections)</t>
  </si>
  <si>
    <t xml:space="preserve">Set to 2 to swap in KKR fund level collections (SSP quarterly bucketing kept)</t>
  </si>
  <si>
    <t xml:space="preserve">Toggle: add cash release to SSP stream (0 = no, 1 = yes)</t>
  </si>
  <si>
    <t xml:space="preserve">Set to 1 to add cash on hand x selling LP share on the release date</t>
  </si>
  <si>
    <t xml:space="preserve">Cutoff date</t>
  </si>
  <si>
    <t xml:space="preserve">Intex settlement / KKR cutoff month</t>
  </si>
  <si>
    <t xml:space="preserve">SSP purchase price ($, 100% LP basis)</t>
  </si>
  <si>
    <t xml:space="preserve">Cash release at selling LP share ($)</t>
  </si>
  <si>
    <t xml:space="preserve">SSP MODEL: PASTE CF DROPS BASE CASE (DATE, PRINCIPAL, INTEREST)</t>
  </si>
  <si>
    <t xml:space="preserve">Paste from SSP file, CF Drops slot 1 (columns B:D from row 11 down) into B6:D. Column E sums principal plus interest. Extend the E formulas if you paste more rows.</t>
  </si>
  <si>
    <t xml:space="preserve">Principal</t>
  </si>
  <si>
    <t xml:space="preserve">Interest</t>
  </si>
  <si>
    <t xml:space="preserve">Total Fund CF</t>
  </si>
  <si>
    <t xml:space="preserve">KKR MODEL: PASTE GROSS COLLECTIONS AND INVESTOR CASH FLOWS</t>
  </si>
  <si>
    <t xml:space="preserve">Left table: KKR HTM Output row 171 (Gross Distributions, 100% of fund), dates from row 6, cutoff onward. Right table: KKR Fwd Returns row 63 (Gross B Piece Cash Flows to investor, includes purchase price) and row 60 (cash and receivables release), dates from row 11. Pulled here from the zero fee recalculation.</t>
  </si>
  <si>
    <t xml:space="preserve">Fund Gross Distributions</t>
  </si>
  <si>
    <t xml:space="preserve">Investor Gross CF (Row 63)</t>
  </si>
  <si>
    <t xml:space="preserve">Cash and Receivables Release (Row 60)</t>
  </si>
  <si>
    <t xml:space="preserve">FUND LEVEL COLLECTIONS: SSP VS KKR (100% OF FUND)</t>
  </si>
  <si>
    <t xml:space="preserve">Month</t>
  </si>
  <si>
    <t xml:space="preserve">SSP Model (Intex)</t>
  </si>
  <si>
    <t xml:space="preserve">KKR Model (Gross Distributions)</t>
  </si>
  <si>
    <t xml:space="preserve">Collections Used in SSP Stream</t>
  </si>
  <si>
    <t xml:space="preserve">Selling LP Share</t>
  </si>
  <si>
    <t xml:space="preserve">SSP Payment Date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</si>
</sst>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#,##0;\(#,##0\);\-"/>
    <numFmt numFmtId="167" formatCode="0.00%;\(0.00%\);\-"/>
    <numFmt numFmtId="168" formatCode="0.00\x"/>
    <numFmt numFmtId="169" formatCode="0.00%"/>
    <numFmt numFmtId="170" formatCode="0.0%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F2F5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7"/>
      <color rgb="FF808080"/>
      <name val="Calibri"/>
      <family val="0"/>
      <charset val="1"/>
    </font>
    <font>
      <i val="true"/>
      <sz val="8"/>
      <color rgb="FF80808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0F2F51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F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10" min="9" style="0" width="18"/>
    <col collapsed="false" customWidth="true" hidden="false" outlineLevel="0" max="11" min="11" style="0" width="16"/>
  </cols>
  <sheetData>
    <row r="2" customFormat="false" ht="17.35" hidden="false" customHeight="false" outlineLevel="0" collapsed="false">
      <c r="B2" s="1" t="s">
        <v>0</v>
      </c>
    </row>
    <row r="3" customFormat="false" ht="3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</row>
    <row r="5" customFormat="false" ht="31.5" hidden="false" customHeight="true" outlineLevel="0" collapsed="false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6</v>
      </c>
      <c r="I5" s="3" t="s">
        <v>7</v>
      </c>
      <c r="J5" s="3" t="s">
        <v>8</v>
      </c>
      <c r="K5" s="4" t="s">
        <v>9</v>
      </c>
    </row>
    <row r="6" customFormat="false" ht="15" hidden="false" customHeight="false" outlineLevel="0" collapsed="false">
      <c r="B6" s="5" t="n">
        <f aca="false">Inputs!$C$9</f>
        <v>46387</v>
      </c>
      <c r="C6" s="6" t="n">
        <f aca="false">IF(B6=Inputs!$C$9,-Inputs!$C$17,0)+SUMIFS('Monthly Collections'!$H$6:$H$83,'Monthly Collections'!$I$6:$I$83,B6)+IF(B6=Inputs!$C$12,Inputs!$C$14*Inputs!$C$18,0)</f>
        <v>-158316490.329465</v>
      </c>
      <c r="D6" s="6" t="n">
        <f aca="false">SUMIFS('KKR CF'!$F$6:$F$400,'KKR CF'!$E$6:$E$400,B6)</f>
        <v>0</v>
      </c>
      <c r="E6" s="6" t="n">
        <f aca="false">D6-C6</f>
        <v>158316490.329465</v>
      </c>
      <c r="F6" s="6" t="n">
        <f aca="false">SUM(E$6:E6)</f>
        <v>158316490.329465</v>
      </c>
      <c r="H6" s="7" t="s">
        <v>10</v>
      </c>
      <c r="I6" s="8" t="n">
        <f aca="false">XIRR(C6:C78,B6:B78)</f>
        <v>0.162309034566727</v>
      </c>
      <c r="J6" s="8" t="n">
        <f aca="false">XIRR(D7:D78,B7:B78)</f>
        <v>0.17907203571393</v>
      </c>
      <c r="K6" s="8" t="n">
        <f aca="false">J6-I6</f>
        <v>0.0167630011472036</v>
      </c>
    </row>
    <row r="7" customFormat="false" ht="15" hidden="false" customHeight="false" outlineLevel="0" collapsed="false">
      <c r="B7" s="9" t="n">
        <f aca="false">Inputs!$C$10</f>
        <v>46388</v>
      </c>
      <c r="C7" s="10" t="n">
        <f aca="false">IF(B7=Inputs!$C$9,-Inputs!$C$17,0)+SUMIFS('Monthly Collections'!$H$6:$H$83,'Monthly Collections'!$I$6:$I$83,B7)+IF(B7=Inputs!$C$12,Inputs!$C$14*Inputs!$C$18,0)</f>
        <v>0</v>
      </c>
      <c r="D7" s="10" t="n">
        <f aca="false">SUMIFS('KKR CF'!$F$6:$F$400,'KKR CF'!$E$6:$E$400,B7)</f>
        <v>-156343225.291504</v>
      </c>
      <c r="E7" s="10" t="n">
        <f aca="false">D7-C7</f>
        <v>-156343225.291504</v>
      </c>
      <c r="F7" s="10" t="n">
        <f aca="false">SUM(E$6:E7)</f>
        <v>1973265.03796068</v>
      </c>
      <c r="H7" s="11" t="s">
        <v>11</v>
      </c>
      <c r="I7" s="12" t="n">
        <f aca="false">SUMIF(C6:C78,"&gt;0")/-SUMIF(C6:C78,"&lt;0")</f>
        <v>1.66091012523585</v>
      </c>
      <c r="J7" s="12" t="n">
        <f aca="false">SUMIF(D6:D78,"&gt;0")/-SUMIF(D6:D78,"&lt;0")</f>
        <v>1.72414466746081</v>
      </c>
      <c r="K7" s="12" t="n">
        <f aca="false">J7-I7</f>
        <v>0.0632345422249581</v>
      </c>
    </row>
    <row r="8" customFormat="false" ht="15" hidden="false" customHeight="false" outlineLevel="0" collapsed="false">
      <c r="B8" s="13" t="n">
        <f aca="false">EOMONTH(B7,0)</f>
        <v>46418</v>
      </c>
      <c r="C8" s="6" t="n">
        <f aca="false">IF(B8=Inputs!$C$9,-Inputs!$C$17,0)+SUMIFS('Monthly Collections'!$H$6:$H$83,'Monthly Collections'!$I$6:$I$83,B8)+IF(B8=Inputs!$C$12,Inputs!$C$14*Inputs!$C$18,0)</f>
        <v>0</v>
      </c>
      <c r="D8" s="6" t="n">
        <f aca="false">SUMIFS('KKR CF'!$F$6:$F$400,'KKR CF'!$E$6:$E$400,B8)</f>
        <v>0</v>
      </c>
      <c r="E8" s="6" t="n">
        <f aca="false">D8-C8</f>
        <v>0</v>
      </c>
      <c r="F8" s="6" t="n">
        <f aca="false">SUM(E$6:E8)</f>
        <v>1973265.03796068</v>
      </c>
      <c r="H8" s="7" t="s">
        <v>12</v>
      </c>
      <c r="I8" s="14" t="n">
        <f aca="false">SUM(C6:C78)</f>
        <v>104632971.450547</v>
      </c>
      <c r="J8" s="14" t="n">
        <f aca="false">SUM(D6:D78)</f>
        <v>113215112.888467</v>
      </c>
      <c r="K8" s="14" t="n">
        <f aca="false">J8-I8</f>
        <v>8582141.43791962</v>
      </c>
    </row>
    <row r="9" customFormat="false" ht="15" hidden="false" customHeight="false" outlineLevel="0" collapsed="false">
      <c r="B9" s="15" t="n">
        <f aca="false">EOMONTH(B8,1)</f>
        <v>46446</v>
      </c>
      <c r="C9" s="10" t="n">
        <f aca="false">IF(B9=Inputs!$C$9,-Inputs!$C$17,0)+SUMIFS('Monthly Collections'!$H$6:$H$83,'Monthly Collections'!$I$6:$I$83,B9)+IF(B9=Inputs!$C$12,Inputs!$C$14*Inputs!$C$18,0)</f>
        <v>0</v>
      </c>
      <c r="D9" s="10" t="n">
        <f aca="false">SUMIFS('KKR CF'!$F$6:$F$400,'KKR CF'!$E$6:$E$400,B9)</f>
        <v>0</v>
      </c>
      <c r="E9" s="10" t="n">
        <f aca="false">D9-C9</f>
        <v>0</v>
      </c>
      <c r="F9" s="10" t="n">
        <f aca="false">SUM(E$6:E9)</f>
        <v>1973265.03796068</v>
      </c>
      <c r="H9" s="16" t="s">
        <v>13</v>
      </c>
      <c r="K9" s="17" t="n">
        <f aca="false">K6*10000</f>
        <v>167.630011472036</v>
      </c>
    </row>
    <row r="10" customFormat="false" ht="15" hidden="false" customHeight="false" outlineLevel="0" collapsed="false">
      <c r="B10" s="13" t="n">
        <f aca="false">EOMONTH(B9,1)</f>
        <v>46477</v>
      </c>
      <c r="C10" s="6" t="n">
        <f aca="false">IF(B10=Inputs!$C$9,-Inputs!$C$17,0)+SUMIFS('Monthly Collections'!$H$6:$H$83,'Monthly Collections'!$I$6:$I$83,B10)+IF(B10=Inputs!$C$12,Inputs!$C$14*Inputs!$C$18,0)</f>
        <v>5892019.1024924</v>
      </c>
      <c r="D10" s="6" t="n">
        <f aca="false">SUMIFS('KKR CF'!$F$6:$F$400,'KKR CF'!$E$6:$E$400,B10)</f>
        <v>6162754.22761363</v>
      </c>
      <c r="E10" s="6" t="n">
        <f aca="false">D10-C10</f>
        <v>270735.12512123</v>
      </c>
      <c r="F10" s="6" t="n">
        <f aca="false">SUM(E$6:E10)</f>
        <v>2244000.16308191</v>
      </c>
    </row>
    <row r="11" customFormat="false" ht="15" hidden="false" customHeight="false" outlineLevel="0" collapsed="false">
      <c r="B11" s="15" t="n">
        <f aca="false">EOMONTH(B10,1)</f>
        <v>46507</v>
      </c>
      <c r="C11" s="10" t="n">
        <f aca="false">IF(B11=Inputs!$C$9,-Inputs!$C$17,0)+SUMIFS('Monthly Collections'!$H$6:$H$83,'Monthly Collections'!$I$6:$I$83,B11)+IF(B11=Inputs!$C$12,Inputs!$C$14*Inputs!$C$18,0)</f>
        <v>0</v>
      </c>
      <c r="D11" s="10" t="n">
        <f aca="false">SUMIFS('KKR CF'!$F$6:$F$400,'KKR CF'!$E$6:$E$400,B11)</f>
        <v>0</v>
      </c>
      <c r="E11" s="10" t="n">
        <f aca="false">D11-C11</f>
        <v>0</v>
      </c>
      <c r="F11" s="10" t="n">
        <f aca="false">SUM(E$6:E11)</f>
        <v>2244000.16308191</v>
      </c>
    </row>
    <row r="12" customFormat="false" ht="31.5" hidden="false" customHeight="true" outlineLevel="0" collapsed="false">
      <c r="B12" s="13" t="n">
        <f aca="false">EOMONTH(B11,1)</f>
        <v>46538</v>
      </c>
      <c r="C12" s="6" t="n">
        <f aca="false">IF(B12=Inputs!$C$9,-Inputs!$C$17,0)+SUMIFS('Monthly Collections'!$H$6:$H$83,'Monthly Collections'!$I$6:$I$83,B12)+IF(B12=Inputs!$C$12,Inputs!$C$14*Inputs!$C$18,0)</f>
        <v>0</v>
      </c>
      <c r="D12" s="6" t="n">
        <f aca="false">SUMIFS('KKR CF'!$F$6:$F$400,'KKR CF'!$E$6:$E$400,B12)</f>
        <v>0</v>
      </c>
      <c r="E12" s="6" t="n">
        <f aca="false">D12-C12</f>
        <v>0</v>
      </c>
      <c r="F12" s="6" t="n">
        <f aca="false">SUM(E$6:E12)</f>
        <v>2244000.16308191</v>
      </c>
      <c r="H12" s="3" t="s">
        <v>14</v>
      </c>
      <c r="I12" s="3" t="s">
        <v>7</v>
      </c>
      <c r="J12" s="3" t="s">
        <v>8</v>
      </c>
      <c r="K12" s="4" t="s">
        <v>9</v>
      </c>
    </row>
    <row r="13" customFormat="false" ht="15" hidden="false" customHeight="false" outlineLevel="0" collapsed="false">
      <c r="B13" s="15" t="n">
        <f aca="false">EOMONTH(B12,1)</f>
        <v>46568</v>
      </c>
      <c r="C13" s="10" t="n">
        <f aca="false">IF(B13=Inputs!$C$9,-Inputs!$C$17,0)+SUMIFS('Monthly Collections'!$H$6:$H$83,'Monthly Collections'!$I$6:$I$83,B13)+IF(B13=Inputs!$C$12,Inputs!$C$14*Inputs!$C$18,0)</f>
        <v>5603429.92799203</v>
      </c>
      <c r="D13" s="10" t="n">
        <f aca="false">SUMIFS('KKR CF'!$F$6:$F$400,'KKR CF'!$E$6:$E$400,B13)</f>
        <v>5556569.74546356</v>
      </c>
      <c r="E13" s="10" t="n">
        <f aca="false">D13-C13</f>
        <v>-46860.1825284688</v>
      </c>
      <c r="F13" s="10" t="n">
        <f aca="false">SUM(E$6:E13)</f>
        <v>2197139.98055344</v>
      </c>
      <c r="H13" s="18" t="n">
        <v>2026</v>
      </c>
      <c r="I13" s="14" t="n">
        <f aca="false">SUMPRODUCT((YEAR($B$6:$B$78)=H13)*$C$6:$C$78)</f>
        <v>-158316490.329465</v>
      </c>
      <c r="J13" s="14" t="n">
        <f aca="false">SUMPRODUCT((YEAR($B$6:$B$78)=H13)*$D$6:$D$78)</f>
        <v>0</v>
      </c>
      <c r="K13" s="14" t="n">
        <f aca="false">J13-I13</f>
        <v>158316490.329465</v>
      </c>
    </row>
    <row r="14" customFormat="false" ht="15" hidden="false" customHeight="false" outlineLevel="0" collapsed="false">
      <c r="B14" s="13" t="n">
        <f aca="false">EOMONTH(B13,1)</f>
        <v>46599</v>
      </c>
      <c r="C14" s="6" t="n">
        <f aca="false">IF(B14=Inputs!$C$9,-Inputs!$C$17,0)+SUMIFS('Monthly Collections'!$H$6:$H$83,'Monthly Collections'!$I$6:$I$83,B14)+IF(B14=Inputs!$C$12,Inputs!$C$14*Inputs!$C$18,0)</f>
        <v>0</v>
      </c>
      <c r="D14" s="6" t="n">
        <f aca="false">SUMIFS('KKR CF'!$F$6:$F$400,'KKR CF'!$E$6:$E$400,B14)</f>
        <v>0</v>
      </c>
      <c r="E14" s="6" t="n">
        <f aca="false">D14-C14</f>
        <v>0</v>
      </c>
      <c r="F14" s="6" t="n">
        <f aca="false">SUM(E$6:E14)</f>
        <v>2197139.98055344</v>
      </c>
      <c r="H14" s="19" t="n">
        <v>2027</v>
      </c>
      <c r="I14" s="20" t="n">
        <f aca="false">SUMPRODUCT((YEAR($B$6:$B$78)=H14)*$C$6:$C$78)</f>
        <v>21935072.0631935</v>
      </c>
      <c r="J14" s="20" t="n">
        <f aca="false">SUMPRODUCT((YEAR($B$6:$B$78)=H14)*$D$6:$D$78)</f>
        <v>-134302319.208674</v>
      </c>
      <c r="K14" s="20" t="n">
        <f aca="false">J14-I14</f>
        <v>-156237391.271867</v>
      </c>
    </row>
    <row r="15" customFormat="false" ht="15" hidden="false" customHeight="false" outlineLevel="0" collapsed="false">
      <c r="B15" s="15" t="n">
        <f aca="false">EOMONTH(B14,1)</f>
        <v>46630</v>
      </c>
      <c r="C15" s="10" t="n">
        <f aca="false">IF(B15=Inputs!$C$9,-Inputs!$C$17,0)+SUMIFS('Monthly Collections'!$H$6:$H$83,'Monthly Collections'!$I$6:$I$83,B15)+IF(B15=Inputs!$C$12,Inputs!$C$14*Inputs!$C$18,0)</f>
        <v>0</v>
      </c>
      <c r="D15" s="10" t="n">
        <f aca="false">SUMIFS('KKR CF'!$F$6:$F$400,'KKR CF'!$E$6:$E$400,B15)</f>
        <v>0</v>
      </c>
      <c r="E15" s="10" t="n">
        <f aca="false">D15-C15</f>
        <v>0</v>
      </c>
      <c r="F15" s="10" t="n">
        <f aca="false">SUM(E$6:E15)</f>
        <v>2197139.98055344</v>
      </c>
      <c r="H15" s="18" t="n">
        <v>2028</v>
      </c>
      <c r="I15" s="14" t="n">
        <f aca="false">SUMPRODUCT((YEAR($B$6:$B$78)=H15)*$C$6:$C$78)</f>
        <v>16348017.1479947</v>
      </c>
      <c r="J15" s="14" t="n">
        <f aca="false">SUMPRODUCT((YEAR($B$6:$B$78)=H15)*$D$6:$D$78)</f>
        <v>17070003.3305811</v>
      </c>
      <c r="K15" s="14" t="n">
        <f aca="false">J15-I15</f>
        <v>721986.182586428</v>
      </c>
    </row>
    <row r="16" customFormat="false" ht="15" hidden="false" customHeight="false" outlineLevel="0" collapsed="false">
      <c r="B16" s="13" t="n">
        <f aca="false">EOMONTH(B15,1)</f>
        <v>46660</v>
      </c>
      <c r="C16" s="6" t="n">
        <f aca="false">IF(B16=Inputs!$C$9,-Inputs!$C$17,0)+SUMIFS('Monthly Collections'!$H$6:$H$83,'Monthly Collections'!$I$6:$I$83,B16)+IF(B16=Inputs!$C$12,Inputs!$C$14*Inputs!$C$18,0)</f>
        <v>5443763.72364622</v>
      </c>
      <c r="D16" s="6" t="n">
        <f aca="false">SUMIFS('KKR CF'!$F$6:$F$400,'KKR CF'!$E$6:$E$400,B16)</f>
        <v>5389272.49662616</v>
      </c>
      <c r="E16" s="6" t="n">
        <f aca="false">D16-C16</f>
        <v>-54491.2270200606</v>
      </c>
      <c r="F16" s="6" t="n">
        <f aca="false">SUM(E$6:E16)</f>
        <v>2142648.75353338</v>
      </c>
      <c r="H16" s="19" t="n">
        <v>2029</v>
      </c>
      <c r="I16" s="20" t="n">
        <f aca="false">SUMPRODUCT((YEAR($B$6:$B$78)=H16)*$C$6:$C$78)</f>
        <v>62650645.4104078</v>
      </c>
      <c r="J16" s="20" t="n">
        <f aca="false">SUMPRODUCT((YEAR($B$6:$B$78)=H16)*$D$6:$D$78)</f>
        <v>63524508.7226184</v>
      </c>
      <c r="K16" s="20" t="n">
        <f aca="false">J16-I16</f>
        <v>873863.312210567</v>
      </c>
    </row>
    <row r="17" customFormat="false" ht="15" hidden="false" customHeight="false" outlineLevel="0" collapsed="false">
      <c r="B17" s="15" t="n">
        <f aca="false">EOMONTH(B16,1)</f>
        <v>46691</v>
      </c>
      <c r="C17" s="10" t="n">
        <f aca="false">IF(B17=Inputs!$C$9,-Inputs!$C$17,0)+SUMIFS('Monthly Collections'!$H$6:$H$83,'Monthly Collections'!$I$6:$I$83,B17)+IF(B17=Inputs!$C$12,Inputs!$C$14*Inputs!$C$18,0)</f>
        <v>0</v>
      </c>
      <c r="D17" s="10" t="n">
        <f aca="false">SUMIFS('KKR CF'!$F$6:$F$400,'KKR CF'!$E$6:$E$400,B17)</f>
        <v>0</v>
      </c>
      <c r="E17" s="10" t="n">
        <f aca="false">D17-C17</f>
        <v>0</v>
      </c>
      <c r="F17" s="10" t="n">
        <f aca="false">SUM(E$6:E17)</f>
        <v>2142648.75353338</v>
      </c>
      <c r="H17" s="18" t="n">
        <v>2030</v>
      </c>
      <c r="I17" s="14" t="n">
        <f aca="false">SUMPRODUCT((YEAR($B$6:$B$78)=H17)*$C$6:$C$78)</f>
        <v>73801206.2758512</v>
      </c>
      <c r="J17" s="14" t="n">
        <f aca="false">SUMPRODUCT((YEAR($B$6:$B$78)=H17)*$D$6:$D$78)</f>
        <v>77951958.7418817</v>
      </c>
      <c r="K17" s="14" t="n">
        <f aca="false">J17-I17</f>
        <v>4150752.46603043</v>
      </c>
    </row>
    <row r="18" customFormat="false" ht="15" hidden="false" customHeight="false" outlineLevel="0" collapsed="false">
      <c r="B18" s="13" t="n">
        <f aca="false">EOMONTH(B17,1)</f>
        <v>46721</v>
      </c>
      <c r="C18" s="6" t="n">
        <f aca="false">IF(B18=Inputs!$C$9,-Inputs!$C$17,0)+SUMIFS('Monthly Collections'!$H$6:$H$83,'Monthly Collections'!$I$6:$I$83,B18)+IF(B18=Inputs!$C$12,Inputs!$C$14*Inputs!$C$18,0)</f>
        <v>0</v>
      </c>
      <c r="D18" s="6" t="n">
        <f aca="false">SUMIFS('KKR CF'!$F$6:$F$400,'KKR CF'!$E$6:$E$400,B18)</f>
        <v>0</v>
      </c>
      <c r="E18" s="6" t="n">
        <f aca="false">D18-C18</f>
        <v>0</v>
      </c>
      <c r="F18" s="6" t="n">
        <f aca="false">SUM(E$6:E18)</f>
        <v>2142648.75353338</v>
      </c>
      <c r="H18" s="19" t="n">
        <v>2031</v>
      </c>
      <c r="I18" s="20" t="n">
        <f aca="false">SUMPRODUCT((YEAR($B$6:$B$78)=H18)*$C$6:$C$78)</f>
        <v>60845273.5846549</v>
      </c>
      <c r="J18" s="20" t="n">
        <f aca="false">SUMPRODUCT((YEAR($B$6:$B$78)=H18)*$D$6:$D$78)</f>
        <v>60291818.111202</v>
      </c>
      <c r="K18" s="20" t="n">
        <f aca="false">J18-I18</f>
        <v>-553455.473452941</v>
      </c>
    </row>
    <row r="19" customFormat="false" ht="15" hidden="false" customHeight="false" outlineLevel="0" collapsed="false">
      <c r="B19" s="15" t="n">
        <f aca="false">EOMONTH(B18,1)</f>
        <v>46752</v>
      </c>
      <c r="C19" s="10" t="n">
        <f aca="false">IF(B19=Inputs!$C$9,-Inputs!$C$17,0)+SUMIFS('Monthly Collections'!$H$6:$H$83,'Monthly Collections'!$I$6:$I$83,B19)+IF(B19=Inputs!$C$12,Inputs!$C$14*Inputs!$C$18,0)</f>
        <v>4995859.30906289</v>
      </c>
      <c r="D19" s="10" t="n">
        <f aca="false">SUMIFS('KKR CF'!$F$6:$F$400,'KKR CF'!$E$6:$E$400,B19)</f>
        <v>4932309.61312711</v>
      </c>
      <c r="E19" s="10" t="n">
        <f aca="false">D19-C19</f>
        <v>-63549.6959357755</v>
      </c>
      <c r="F19" s="10" t="n">
        <f aca="false">SUM(E$6:E19)</f>
        <v>2079099.0575976</v>
      </c>
      <c r="H19" s="18" t="n">
        <v>2032</v>
      </c>
      <c r="I19" s="14" t="n">
        <f aca="false">SUMPRODUCT((YEAR($B$6:$B$78)=H19)*$C$6:$C$78)</f>
        <v>27369247.2979099</v>
      </c>
      <c r="J19" s="14" t="n">
        <f aca="false">SUMPRODUCT((YEAR($B$6:$B$78)=H19)*$D$6:$D$78)</f>
        <v>28679143.1908574</v>
      </c>
      <c r="K19" s="14" t="n">
        <f aca="false">J19-I19</f>
        <v>1309895.89294751</v>
      </c>
    </row>
    <row r="20" customFormat="false" ht="15" hidden="false" customHeight="false" outlineLevel="0" collapsed="false">
      <c r="B20" s="13" t="n">
        <f aca="false">EOMONTH(B19,1)</f>
        <v>46783</v>
      </c>
      <c r="C20" s="6" t="n">
        <f aca="false">IF(B20=Inputs!$C$9,-Inputs!$C$17,0)+SUMIFS('Monthly Collections'!$H$6:$H$83,'Monthly Collections'!$I$6:$I$83,B20)+IF(B20=Inputs!$C$12,Inputs!$C$14*Inputs!$C$18,0)</f>
        <v>0</v>
      </c>
      <c r="D20" s="6" t="n">
        <f aca="false">SUMIFS('KKR CF'!$F$6:$F$400,'KKR CF'!$E$6:$E$400,B20)</f>
        <v>0</v>
      </c>
      <c r="E20" s="6" t="n">
        <f aca="false">D20-C20</f>
        <v>0</v>
      </c>
      <c r="F20" s="6" t="n">
        <f aca="false">SUM(E$6:E20)</f>
        <v>2079099.0575976</v>
      </c>
      <c r="H20" s="21" t="s">
        <v>15</v>
      </c>
      <c r="I20" s="22" t="n">
        <f aca="false">SUM(I13:I19)</f>
        <v>104632971.450547</v>
      </c>
      <c r="J20" s="22" t="n">
        <f aca="false">SUM(J13:J19)</f>
        <v>113215112.888467</v>
      </c>
      <c r="K20" s="22" t="n">
        <f aca="false">SUM(K13:K19)</f>
        <v>8582141.43791961</v>
      </c>
    </row>
    <row r="21" customFormat="false" ht="15" hidden="false" customHeight="false" outlineLevel="0" collapsed="false">
      <c r="B21" s="15" t="n">
        <f aca="false">EOMONTH(B20,1)</f>
        <v>46812</v>
      </c>
      <c r="C21" s="10" t="n">
        <f aca="false">IF(B21=Inputs!$C$9,-Inputs!$C$17,0)+SUMIFS('Monthly Collections'!$H$6:$H$83,'Monthly Collections'!$I$6:$I$83,B21)+IF(B21=Inputs!$C$12,Inputs!$C$14*Inputs!$C$18,0)</f>
        <v>0</v>
      </c>
      <c r="D21" s="10" t="n">
        <f aca="false">SUMIFS('KKR CF'!$F$6:$F$400,'KKR CF'!$E$6:$E$400,B21)</f>
        <v>0</v>
      </c>
      <c r="E21" s="10" t="n">
        <f aca="false">D21-C21</f>
        <v>0</v>
      </c>
      <c r="F21" s="10" t="n">
        <f aca="false">SUM(E$6:E21)</f>
        <v>2079099.0575976</v>
      </c>
    </row>
    <row r="22" customFormat="false" ht="15" hidden="false" customHeight="false" outlineLevel="0" collapsed="false">
      <c r="B22" s="13" t="n">
        <f aca="false">EOMONTH(B21,1)</f>
        <v>46843</v>
      </c>
      <c r="C22" s="6" t="n">
        <f aca="false">IF(B22=Inputs!$C$9,-Inputs!$C$17,0)+SUMIFS('Monthly Collections'!$H$6:$H$83,'Monthly Collections'!$I$6:$I$83,B22)+IF(B22=Inputs!$C$12,Inputs!$C$14*Inputs!$C$18,0)</f>
        <v>4591148.88848039</v>
      </c>
      <c r="D22" s="6" t="n">
        <f aca="false">SUMIFS('KKR CF'!$F$6:$F$400,'KKR CF'!$E$6:$E$400,B22)</f>
        <v>4708894.29621651</v>
      </c>
      <c r="E22" s="6" t="n">
        <f aca="false">D22-C22</f>
        <v>117745.407736121</v>
      </c>
      <c r="F22" s="6" t="n">
        <f aca="false">SUM(E$6:E22)</f>
        <v>2196844.46533372</v>
      </c>
    </row>
    <row r="23" customFormat="false" ht="15" hidden="false" customHeight="true" outlineLevel="0" collapsed="false">
      <c r="B23" s="15" t="n">
        <f aca="false">EOMONTH(B22,1)</f>
        <v>46873</v>
      </c>
      <c r="C23" s="10" t="n">
        <f aca="false">IF(B23=Inputs!$C$9,-Inputs!$C$17,0)+SUMIFS('Monthly Collections'!$H$6:$H$83,'Monthly Collections'!$I$6:$I$83,B23)+IF(B23=Inputs!$C$12,Inputs!$C$14*Inputs!$C$18,0)</f>
        <v>0</v>
      </c>
      <c r="D23" s="10" t="n">
        <f aca="false">SUMIFS('KKR CF'!$F$6:$F$400,'KKR CF'!$E$6:$E$400,B23)</f>
        <v>0</v>
      </c>
      <c r="E23" s="10" t="n">
        <f aca="false">D23-C23</f>
        <v>0</v>
      </c>
      <c r="F23" s="10" t="n">
        <f aca="false">SUM(E$6:E23)</f>
        <v>2196844.46533372</v>
      </c>
      <c r="H23" s="23" t="s">
        <v>16</v>
      </c>
      <c r="I23" s="23"/>
      <c r="J23" s="23"/>
      <c r="K23" s="23"/>
    </row>
    <row r="24" customFormat="false" ht="15" hidden="false" customHeight="false" outlineLevel="0" collapsed="false">
      <c r="B24" s="13" t="n">
        <f aca="false">EOMONTH(B23,1)</f>
        <v>46904</v>
      </c>
      <c r="C24" s="6" t="n">
        <f aca="false">IF(B24=Inputs!$C$9,-Inputs!$C$17,0)+SUMIFS('Monthly Collections'!$H$6:$H$83,'Monthly Collections'!$I$6:$I$83,B24)+IF(B24=Inputs!$C$12,Inputs!$C$14*Inputs!$C$18,0)</f>
        <v>0</v>
      </c>
      <c r="D24" s="6" t="n">
        <f aca="false">SUMIFS('KKR CF'!$F$6:$F$400,'KKR CF'!$E$6:$E$400,B24)</f>
        <v>0</v>
      </c>
      <c r="E24" s="6" t="n">
        <f aca="false">D24-C24</f>
        <v>0</v>
      </c>
      <c r="F24" s="6" t="n">
        <f aca="false">SUM(E$6:E24)</f>
        <v>2196844.46533372</v>
      </c>
      <c r="H24" s="23"/>
      <c r="I24" s="23"/>
      <c r="J24" s="23"/>
      <c r="K24" s="23"/>
    </row>
    <row r="25" customFormat="false" ht="15" hidden="false" customHeight="false" outlineLevel="0" collapsed="false">
      <c r="B25" s="15" t="n">
        <f aca="false">EOMONTH(B24,1)</f>
        <v>46934</v>
      </c>
      <c r="C25" s="10" t="n">
        <f aca="false">IF(B25=Inputs!$C$9,-Inputs!$C$17,0)+SUMIFS('Monthly Collections'!$H$6:$H$83,'Monthly Collections'!$I$6:$I$83,B25)+IF(B25=Inputs!$C$12,Inputs!$C$14*Inputs!$C$18,0)</f>
        <v>4266299.93571097</v>
      </c>
      <c r="D25" s="10" t="n">
        <f aca="false">SUMIFS('KKR CF'!$F$6:$F$400,'KKR CF'!$E$6:$E$400,B25)</f>
        <v>4419021.78081149</v>
      </c>
      <c r="E25" s="10" t="n">
        <f aca="false">D25-C25</f>
        <v>152721.845100517</v>
      </c>
      <c r="F25" s="10" t="n">
        <f aca="false">SUM(E$6:E25)</f>
        <v>2349566.31043424</v>
      </c>
      <c r="H25" s="23"/>
      <c r="I25" s="23"/>
      <c r="J25" s="23"/>
      <c r="K25" s="23"/>
    </row>
    <row r="26" customFormat="false" ht="15" hidden="false" customHeight="false" outlineLevel="0" collapsed="false">
      <c r="B26" s="13" t="n">
        <f aca="false">EOMONTH(B25,1)</f>
        <v>46965</v>
      </c>
      <c r="C26" s="6" t="n">
        <f aca="false">IF(B26=Inputs!$C$9,-Inputs!$C$17,0)+SUMIFS('Monthly Collections'!$H$6:$H$83,'Monthly Collections'!$I$6:$I$83,B26)+IF(B26=Inputs!$C$12,Inputs!$C$14*Inputs!$C$18,0)</f>
        <v>0</v>
      </c>
      <c r="D26" s="6" t="n">
        <f aca="false">SUMIFS('KKR CF'!$F$6:$F$400,'KKR CF'!$E$6:$E$400,B26)</f>
        <v>0</v>
      </c>
      <c r="E26" s="6" t="n">
        <f aca="false">D26-C26</f>
        <v>0</v>
      </c>
      <c r="F26" s="6" t="n">
        <f aca="false">SUM(E$6:E26)</f>
        <v>2349566.31043424</v>
      </c>
      <c r="H26" s="23"/>
      <c r="I26" s="23"/>
      <c r="J26" s="23"/>
      <c r="K26" s="23"/>
    </row>
    <row r="27" customFormat="false" ht="15" hidden="false" customHeight="false" outlineLevel="0" collapsed="false">
      <c r="B27" s="15" t="n">
        <f aca="false">EOMONTH(B26,1)</f>
        <v>46996</v>
      </c>
      <c r="C27" s="10" t="n">
        <f aca="false">IF(B27=Inputs!$C$9,-Inputs!$C$17,0)+SUMIFS('Monthly Collections'!$H$6:$H$83,'Monthly Collections'!$I$6:$I$83,B27)+IF(B27=Inputs!$C$12,Inputs!$C$14*Inputs!$C$18,0)</f>
        <v>0</v>
      </c>
      <c r="D27" s="10" t="n">
        <f aca="false">SUMIFS('KKR CF'!$F$6:$F$400,'KKR CF'!$E$6:$E$400,B27)</f>
        <v>0</v>
      </c>
      <c r="E27" s="10" t="n">
        <f aca="false">D27-C27</f>
        <v>0</v>
      </c>
      <c r="F27" s="10" t="n">
        <f aca="false">SUM(E$6:E27)</f>
        <v>2349566.31043424</v>
      </c>
      <c r="H27" s="23"/>
      <c r="I27" s="23"/>
      <c r="J27" s="23"/>
      <c r="K27" s="23"/>
    </row>
    <row r="28" customFormat="false" ht="15" hidden="false" customHeight="false" outlineLevel="0" collapsed="false">
      <c r="B28" s="13" t="n">
        <f aca="false">EOMONTH(B27,1)</f>
        <v>47026</v>
      </c>
      <c r="C28" s="6" t="n">
        <f aca="false">IF(B28=Inputs!$C$9,-Inputs!$C$17,0)+SUMIFS('Monthly Collections'!$H$6:$H$83,'Monthly Collections'!$I$6:$I$83,B28)+IF(B28=Inputs!$C$12,Inputs!$C$14*Inputs!$C$18,0)</f>
        <v>4165650.96610198</v>
      </c>
      <c r="D28" s="6" t="n">
        <f aca="false">SUMIFS('KKR CF'!$F$6:$F$400,'KKR CF'!$E$6:$E$400,B28)</f>
        <v>4763460.112649</v>
      </c>
      <c r="E28" s="6" t="n">
        <f aca="false">D28-C28</f>
        <v>597809.146547024</v>
      </c>
      <c r="F28" s="6" t="n">
        <f aca="false">SUM(E$6:E28)</f>
        <v>2947375.45698127</v>
      </c>
      <c r="H28" s="23"/>
      <c r="I28" s="23"/>
      <c r="J28" s="23"/>
      <c r="K28" s="23"/>
    </row>
    <row r="29" customFormat="false" ht="15" hidden="false" customHeight="false" outlineLevel="0" collapsed="false">
      <c r="B29" s="15" t="n">
        <f aca="false">EOMONTH(B28,1)</f>
        <v>47057</v>
      </c>
      <c r="C29" s="10" t="n">
        <f aca="false">IF(B29=Inputs!$C$9,-Inputs!$C$17,0)+SUMIFS('Monthly Collections'!$H$6:$H$83,'Monthly Collections'!$I$6:$I$83,B29)+IF(B29=Inputs!$C$12,Inputs!$C$14*Inputs!$C$18,0)</f>
        <v>0</v>
      </c>
      <c r="D29" s="10" t="n">
        <f aca="false">SUMIFS('KKR CF'!$F$6:$F$400,'KKR CF'!$E$6:$E$400,B29)</f>
        <v>0</v>
      </c>
      <c r="E29" s="10" t="n">
        <f aca="false">D29-C29</f>
        <v>0</v>
      </c>
      <c r="F29" s="10" t="n">
        <f aca="false">SUM(E$6:E29)</f>
        <v>2947375.45698127</v>
      </c>
      <c r="H29" s="23"/>
      <c r="I29" s="23"/>
      <c r="J29" s="23"/>
      <c r="K29" s="23"/>
    </row>
    <row r="30" customFormat="false" ht="15" hidden="false" customHeight="false" outlineLevel="0" collapsed="false">
      <c r="B30" s="13" t="n">
        <f aca="false">EOMONTH(B29,1)</f>
        <v>47087</v>
      </c>
      <c r="C30" s="6" t="n">
        <f aca="false">IF(B30=Inputs!$C$9,-Inputs!$C$17,0)+SUMIFS('Monthly Collections'!$H$6:$H$83,'Monthly Collections'!$I$6:$I$83,B30)+IF(B30=Inputs!$C$12,Inputs!$C$14*Inputs!$C$18,0)</f>
        <v>0</v>
      </c>
      <c r="D30" s="6" t="n">
        <f aca="false">SUMIFS('KKR CF'!$F$6:$F$400,'KKR CF'!$E$6:$E$400,B30)</f>
        <v>0</v>
      </c>
      <c r="E30" s="6" t="n">
        <f aca="false">D30-C30</f>
        <v>0</v>
      </c>
      <c r="F30" s="6" t="n">
        <f aca="false">SUM(E$6:E30)</f>
        <v>2947375.45698127</v>
      </c>
      <c r="H30" s="23"/>
      <c r="I30" s="23"/>
      <c r="J30" s="23"/>
      <c r="K30" s="23"/>
    </row>
    <row r="31" customFormat="false" ht="15" hidden="false" customHeight="false" outlineLevel="0" collapsed="false">
      <c r="B31" s="15" t="n">
        <f aca="false">EOMONTH(B30,1)</f>
        <v>47118</v>
      </c>
      <c r="C31" s="10" t="n">
        <f aca="false">IF(B31=Inputs!$C$9,-Inputs!$C$17,0)+SUMIFS('Monthly Collections'!$H$6:$H$83,'Monthly Collections'!$I$6:$I$83,B31)+IF(B31=Inputs!$C$12,Inputs!$C$14*Inputs!$C$18,0)</f>
        <v>3324917.35770136</v>
      </c>
      <c r="D31" s="10" t="n">
        <f aca="false">SUMIFS('KKR CF'!$F$6:$F$400,'KKR CF'!$E$6:$E$400,B31)</f>
        <v>3178627.14090412</v>
      </c>
      <c r="E31" s="10" t="n">
        <f aca="false">D31-C31</f>
        <v>-146290.216797236</v>
      </c>
      <c r="F31" s="10" t="n">
        <f aca="false">SUM(E$6:E31)</f>
        <v>2801085.24018403</v>
      </c>
      <c r="H31" s="23"/>
      <c r="I31" s="23"/>
      <c r="J31" s="23"/>
      <c r="K31" s="23"/>
    </row>
    <row r="32" customFormat="false" ht="15" hidden="false" customHeight="false" outlineLevel="0" collapsed="false">
      <c r="B32" s="13" t="n">
        <f aca="false">EOMONTH(B31,1)</f>
        <v>47149</v>
      </c>
      <c r="C32" s="6" t="n">
        <f aca="false">IF(B32=Inputs!$C$9,-Inputs!$C$17,0)+SUMIFS('Monthly Collections'!$H$6:$H$83,'Monthly Collections'!$I$6:$I$83,B32)+IF(B32=Inputs!$C$12,Inputs!$C$14*Inputs!$C$18,0)</f>
        <v>0</v>
      </c>
      <c r="D32" s="6" t="n">
        <f aca="false">SUMIFS('KKR CF'!$F$6:$F$400,'KKR CF'!$E$6:$E$400,B32)</f>
        <v>0</v>
      </c>
      <c r="E32" s="6" t="n">
        <f aca="false">D32-C32</f>
        <v>0</v>
      </c>
      <c r="F32" s="6" t="n">
        <f aca="false">SUM(E$6:E32)</f>
        <v>2801085.24018403</v>
      </c>
      <c r="H32" s="23"/>
      <c r="I32" s="23"/>
      <c r="J32" s="23"/>
      <c r="K32" s="23"/>
    </row>
    <row r="33" customFormat="false" ht="15" hidden="false" customHeight="false" outlineLevel="0" collapsed="false">
      <c r="B33" s="15" t="n">
        <f aca="false">EOMONTH(B32,1)</f>
        <v>47177</v>
      </c>
      <c r="C33" s="10" t="n">
        <f aca="false">IF(B33=Inputs!$C$9,-Inputs!$C$17,0)+SUMIFS('Monthly Collections'!$H$6:$H$83,'Monthly Collections'!$I$6:$I$83,B33)+IF(B33=Inputs!$C$12,Inputs!$C$14*Inputs!$C$18,0)</f>
        <v>0</v>
      </c>
      <c r="D33" s="10" t="n">
        <f aca="false">SUMIFS('KKR CF'!$F$6:$F$400,'KKR CF'!$E$6:$E$400,B33)</f>
        <v>0</v>
      </c>
      <c r="E33" s="10" t="n">
        <f aca="false">D33-C33</f>
        <v>0</v>
      </c>
      <c r="F33" s="10" t="n">
        <f aca="false">SUM(E$6:E33)</f>
        <v>2801085.24018403</v>
      </c>
    </row>
    <row r="34" customFormat="false" ht="15" hidden="false" customHeight="false" outlineLevel="0" collapsed="false">
      <c r="B34" s="13" t="n">
        <f aca="false">EOMONTH(B33,1)</f>
        <v>47208</v>
      </c>
      <c r="C34" s="6" t="n">
        <f aca="false">IF(B34=Inputs!$C$9,-Inputs!$C$17,0)+SUMIFS('Monthly Collections'!$H$6:$H$83,'Monthly Collections'!$I$6:$I$83,B34)+IF(B34=Inputs!$C$12,Inputs!$C$14*Inputs!$C$18,0)</f>
        <v>2640360.8438619</v>
      </c>
      <c r="D34" s="6" t="n">
        <f aca="false">SUMIFS('KKR CF'!$F$6:$F$400,'KKR CF'!$E$6:$E$400,B34)</f>
        <v>2758894.88736978</v>
      </c>
      <c r="E34" s="6" t="n">
        <f aca="false">D34-C34</f>
        <v>118534.043507881</v>
      </c>
      <c r="F34" s="6" t="n">
        <f aca="false">SUM(E$6:E34)</f>
        <v>2919619.28369191</v>
      </c>
    </row>
    <row r="35" customFormat="false" ht="15" hidden="false" customHeight="false" outlineLevel="0" collapsed="false">
      <c r="B35" s="15" t="n">
        <f aca="false">EOMONTH(B34,1)</f>
        <v>47238</v>
      </c>
      <c r="C35" s="10" t="n">
        <f aca="false">IF(B35=Inputs!$C$9,-Inputs!$C$17,0)+SUMIFS('Monthly Collections'!$H$6:$H$83,'Monthly Collections'!$I$6:$I$83,B35)+IF(B35=Inputs!$C$12,Inputs!$C$14*Inputs!$C$18,0)</f>
        <v>0</v>
      </c>
      <c r="D35" s="10" t="n">
        <f aca="false">SUMIFS('KKR CF'!$F$6:$F$400,'KKR CF'!$E$6:$E$400,B35)</f>
        <v>0</v>
      </c>
      <c r="E35" s="10" t="n">
        <f aca="false">D35-C35</f>
        <v>0</v>
      </c>
      <c r="F35" s="10" t="n">
        <f aca="false">SUM(E$6:E35)</f>
        <v>2919619.28369191</v>
      </c>
    </row>
    <row r="36" customFormat="false" ht="15" hidden="false" customHeight="false" outlineLevel="0" collapsed="false">
      <c r="B36" s="13" t="n">
        <f aca="false">EOMONTH(B35,1)</f>
        <v>47269</v>
      </c>
      <c r="C36" s="6" t="n">
        <f aca="false">IF(B36=Inputs!$C$9,-Inputs!$C$17,0)+SUMIFS('Monthly Collections'!$H$6:$H$83,'Monthly Collections'!$I$6:$I$83,B36)+IF(B36=Inputs!$C$12,Inputs!$C$14*Inputs!$C$18,0)</f>
        <v>0</v>
      </c>
      <c r="D36" s="6" t="n">
        <f aca="false">SUMIFS('KKR CF'!$F$6:$F$400,'KKR CF'!$E$6:$E$400,B36)</f>
        <v>0</v>
      </c>
      <c r="E36" s="6" t="n">
        <f aca="false">D36-C36</f>
        <v>0</v>
      </c>
      <c r="F36" s="6" t="n">
        <f aca="false">SUM(E$6:E36)</f>
        <v>2919619.28369191</v>
      </c>
    </row>
    <row r="37" customFormat="false" ht="15" hidden="false" customHeight="false" outlineLevel="0" collapsed="false">
      <c r="B37" s="15" t="n">
        <f aca="false">EOMONTH(B36,1)</f>
        <v>47299</v>
      </c>
      <c r="C37" s="10" t="n">
        <f aca="false">IF(B37=Inputs!$C$9,-Inputs!$C$17,0)+SUMIFS('Monthly Collections'!$H$6:$H$83,'Monthly Collections'!$I$6:$I$83,B37)+IF(B37=Inputs!$C$12,Inputs!$C$14*Inputs!$C$18,0)</f>
        <v>2478218.31052924</v>
      </c>
      <c r="D37" s="10" t="n">
        <f aca="false">SUMIFS('KKR CF'!$F$6:$F$400,'KKR CF'!$E$6:$E$400,B37)</f>
        <v>25031716.3631376</v>
      </c>
      <c r="E37" s="10" t="n">
        <f aca="false">D37-C37</f>
        <v>22553498.0526084</v>
      </c>
      <c r="F37" s="10" t="n">
        <f aca="false">SUM(E$6:E37)</f>
        <v>25473117.3363003</v>
      </c>
    </row>
    <row r="38" customFormat="false" ht="15" hidden="false" customHeight="false" outlineLevel="0" collapsed="false">
      <c r="B38" s="13" t="n">
        <f aca="false">EOMONTH(B37,1)</f>
        <v>47330</v>
      </c>
      <c r="C38" s="6" t="n">
        <f aca="false">IF(B38=Inputs!$C$9,-Inputs!$C$17,0)+SUMIFS('Monthly Collections'!$H$6:$H$83,'Monthly Collections'!$I$6:$I$83,B38)+IF(B38=Inputs!$C$12,Inputs!$C$14*Inputs!$C$18,0)</f>
        <v>0</v>
      </c>
      <c r="D38" s="6" t="n">
        <f aca="false">SUMIFS('KKR CF'!$F$6:$F$400,'KKR CF'!$E$6:$E$400,B38)</f>
        <v>0</v>
      </c>
      <c r="E38" s="6" t="n">
        <f aca="false">D38-C38</f>
        <v>0</v>
      </c>
      <c r="F38" s="6" t="n">
        <f aca="false">SUM(E$6:E38)</f>
        <v>25473117.3363003</v>
      </c>
    </row>
    <row r="39" customFormat="false" ht="15" hidden="false" customHeight="false" outlineLevel="0" collapsed="false">
      <c r="B39" s="15" t="n">
        <f aca="false">EOMONTH(B38,1)</f>
        <v>47361</v>
      </c>
      <c r="C39" s="10" t="n">
        <f aca="false">IF(B39=Inputs!$C$9,-Inputs!$C$17,0)+SUMIFS('Monthly Collections'!$H$6:$H$83,'Monthly Collections'!$I$6:$I$83,B39)+IF(B39=Inputs!$C$12,Inputs!$C$14*Inputs!$C$18,0)</f>
        <v>0</v>
      </c>
      <c r="D39" s="10" t="n">
        <f aca="false">SUMIFS('KKR CF'!$F$6:$F$400,'KKR CF'!$E$6:$E$400,B39)</f>
        <v>0</v>
      </c>
      <c r="E39" s="10" t="n">
        <f aca="false">D39-C39</f>
        <v>0</v>
      </c>
      <c r="F39" s="10" t="n">
        <f aca="false">SUM(E$6:E39)</f>
        <v>25473117.3363003</v>
      </c>
    </row>
    <row r="40" customFormat="false" ht="15" hidden="false" customHeight="false" outlineLevel="0" collapsed="false">
      <c r="B40" s="13" t="n">
        <f aca="false">EOMONTH(B39,1)</f>
        <v>47391</v>
      </c>
      <c r="C40" s="6" t="n">
        <f aca="false">IF(B40=Inputs!$C$9,-Inputs!$C$17,0)+SUMIFS('Monthly Collections'!$H$6:$H$83,'Monthly Collections'!$I$6:$I$83,B40)+IF(B40=Inputs!$C$12,Inputs!$C$14*Inputs!$C$18,0)</f>
        <v>41557681.7644069</v>
      </c>
      <c r="D40" s="6" t="n">
        <f aca="false">SUMIFS('KKR CF'!$F$6:$F$400,'KKR CF'!$E$6:$E$400,B40)</f>
        <v>19456934.2703678</v>
      </c>
      <c r="E40" s="6" t="n">
        <f aca="false">D40-C40</f>
        <v>-22100747.4940391</v>
      </c>
      <c r="F40" s="6" t="n">
        <f aca="false">SUM(E$6:E40)</f>
        <v>3372369.84226121</v>
      </c>
    </row>
    <row r="41" customFormat="false" ht="15" hidden="false" customHeight="false" outlineLevel="0" collapsed="false">
      <c r="B41" s="15" t="n">
        <f aca="false">EOMONTH(B40,1)</f>
        <v>47422</v>
      </c>
      <c r="C41" s="10" t="n">
        <f aca="false">IF(B41=Inputs!$C$9,-Inputs!$C$17,0)+SUMIFS('Monthly Collections'!$H$6:$H$83,'Monthly Collections'!$I$6:$I$83,B41)+IF(B41=Inputs!$C$12,Inputs!$C$14*Inputs!$C$18,0)</f>
        <v>0</v>
      </c>
      <c r="D41" s="10" t="n">
        <f aca="false">SUMIFS('KKR CF'!$F$6:$F$400,'KKR CF'!$E$6:$E$400,B41)</f>
        <v>0</v>
      </c>
      <c r="E41" s="10" t="n">
        <f aca="false">D41-C41</f>
        <v>0</v>
      </c>
      <c r="F41" s="10" t="n">
        <f aca="false">SUM(E$6:E41)</f>
        <v>3372369.84226121</v>
      </c>
    </row>
    <row r="42" customFormat="false" ht="15" hidden="false" customHeight="false" outlineLevel="0" collapsed="false">
      <c r="B42" s="13" t="n">
        <f aca="false">EOMONTH(B41,1)</f>
        <v>47452</v>
      </c>
      <c r="C42" s="6" t="n">
        <f aca="false">IF(B42=Inputs!$C$9,-Inputs!$C$17,0)+SUMIFS('Monthly Collections'!$H$6:$H$83,'Monthly Collections'!$I$6:$I$83,B42)+IF(B42=Inputs!$C$12,Inputs!$C$14*Inputs!$C$18,0)</f>
        <v>0</v>
      </c>
      <c r="D42" s="6" t="n">
        <f aca="false">SUMIFS('KKR CF'!$F$6:$F$400,'KKR CF'!$E$6:$E$400,B42)</f>
        <v>0</v>
      </c>
      <c r="E42" s="6" t="n">
        <f aca="false">D42-C42</f>
        <v>0</v>
      </c>
      <c r="F42" s="6" t="n">
        <f aca="false">SUM(E$6:E42)</f>
        <v>3372369.84226121</v>
      </c>
    </row>
    <row r="43" customFormat="false" ht="15" hidden="false" customHeight="false" outlineLevel="0" collapsed="false">
      <c r="B43" s="15" t="n">
        <f aca="false">EOMONTH(B42,1)</f>
        <v>47483</v>
      </c>
      <c r="C43" s="10" t="n">
        <f aca="false">IF(B43=Inputs!$C$9,-Inputs!$C$17,0)+SUMIFS('Monthly Collections'!$H$6:$H$83,'Monthly Collections'!$I$6:$I$83,B43)+IF(B43=Inputs!$C$12,Inputs!$C$14*Inputs!$C$18,0)</f>
        <v>15974384.4916098</v>
      </c>
      <c r="D43" s="10" t="n">
        <f aca="false">SUMIFS('KKR CF'!$F$6:$F$400,'KKR CF'!$E$6:$E$400,B43)</f>
        <v>16276963.2017432</v>
      </c>
      <c r="E43" s="10" t="n">
        <f aca="false">D43-C43</f>
        <v>302578.710133392</v>
      </c>
      <c r="F43" s="10" t="n">
        <f aca="false">SUM(E$6:E43)</f>
        <v>3674948.5523946</v>
      </c>
    </row>
    <row r="44" customFormat="false" ht="15" hidden="false" customHeight="false" outlineLevel="0" collapsed="false">
      <c r="B44" s="13" t="n">
        <f aca="false">EOMONTH(B43,1)</f>
        <v>47514</v>
      </c>
      <c r="C44" s="6" t="n">
        <f aca="false">IF(B44=Inputs!$C$9,-Inputs!$C$17,0)+SUMIFS('Monthly Collections'!$H$6:$H$83,'Monthly Collections'!$I$6:$I$83,B44)+IF(B44=Inputs!$C$12,Inputs!$C$14*Inputs!$C$18,0)</f>
        <v>0</v>
      </c>
      <c r="D44" s="6" t="n">
        <f aca="false">SUMIFS('KKR CF'!$F$6:$F$400,'KKR CF'!$E$6:$E$400,B44)</f>
        <v>0</v>
      </c>
      <c r="E44" s="6" t="n">
        <f aca="false">D44-C44</f>
        <v>0</v>
      </c>
      <c r="F44" s="6" t="n">
        <f aca="false">SUM(E$6:E44)</f>
        <v>3674948.5523946</v>
      </c>
    </row>
    <row r="45" customFormat="false" ht="15" hidden="false" customHeight="false" outlineLevel="0" collapsed="false">
      <c r="B45" s="15" t="n">
        <f aca="false">EOMONTH(B44,1)</f>
        <v>47542</v>
      </c>
      <c r="C45" s="10" t="n">
        <f aca="false">IF(B45=Inputs!$C$9,-Inputs!$C$17,0)+SUMIFS('Monthly Collections'!$H$6:$H$83,'Monthly Collections'!$I$6:$I$83,B45)+IF(B45=Inputs!$C$12,Inputs!$C$14*Inputs!$C$18,0)</f>
        <v>0</v>
      </c>
      <c r="D45" s="10" t="n">
        <f aca="false">SUMIFS('KKR CF'!$F$6:$F$400,'KKR CF'!$E$6:$E$400,B45)</f>
        <v>0</v>
      </c>
      <c r="E45" s="10" t="n">
        <f aca="false">D45-C45</f>
        <v>0</v>
      </c>
      <c r="F45" s="10" t="n">
        <f aca="false">SUM(E$6:E45)</f>
        <v>3674948.5523946</v>
      </c>
    </row>
    <row r="46" customFormat="false" ht="15" hidden="false" customHeight="false" outlineLevel="0" collapsed="false">
      <c r="B46" s="13" t="n">
        <f aca="false">EOMONTH(B45,1)</f>
        <v>47573</v>
      </c>
      <c r="C46" s="6" t="n">
        <f aca="false">IF(B46=Inputs!$C$9,-Inputs!$C$17,0)+SUMIFS('Monthly Collections'!$H$6:$H$83,'Monthly Collections'!$I$6:$I$83,B46)+IF(B46=Inputs!$C$12,Inputs!$C$14*Inputs!$C$18,0)</f>
        <v>4612570.41407285</v>
      </c>
      <c r="D46" s="6" t="n">
        <f aca="false">SUMIFS('KKR CF'!$F$6:$F$400,'KKR CF'!$E$6:$E$400,B46)</f>
        <v>12302934.4692668</v>
      </c>
      <c r="E46" s="6" t="n">
        <f aca="false">D46-C46</f>
        <v>7690364.05519395</v>
      </c>
      <c r="F46" s="6" t="n">
        <f aca="false">SUM(E$6:E46)</f>
        <v>11365312.6075886</v>
      </c>
    </row>
    <row r="47" customFormat="false" ht="15" hidden="false" customHeight="false" outlineLevel="0" collapsed="false">
      <c r="B47" s="15" t="n">
        <f aca="false">EOMONTH(B46,1)</f>
        <v>47603</v>
      </c>
      <c r="C47" s="10" t="n">
        <f aca="false">IF(B47=Inputs!$C$9,-Inputs!$C$17,0)+SUMIFS('Monthly Collections'!$H$6:$H$83,'Monthly Collections'!$I$6:$I$83,B47)+IF(B47=Inputs!$C$12,Inputs!$C$14*Inputs!$C$18,0)</f>
        <v>0</v>
      </c>
      <c r="D47" s="10" t="n">
        <f aca="false">SUMIFS('KKR CF'!$F$6:$F$400,'KKR CF'!$E$6:$E$400,B47)</f>
        <v>0</v>
      </c>
      <c r="E47" s="10" t="n">
        <f aca="false">D47-C47</f>
        <v>0</v>
      </c>
      <c r="F47" s="10" t="n">
        <f aca="false">SUM(E$6:E47)</f>
        <v>11365312.6075886</v>
      </c>
    </row>
    <row r="48" customFormat="false" ht="15" hidden="false" customHeight="false" outlineLevel="0" collapsed="false">
      <c r="B48" s="13" t="n">
        <f aca="false">EOMONTH(B47,1)</f>
        <v>47634</v>
      </c>
      <c r="C48" s="6" t="n">
        <f aca="false">IF(B48=Inputs!$C$9,-Inputs!$C$17,0)+SUMIFS('Monthly Collections'!$H$6:$H$83,'Monthly Collections'!$I$6:$I$83,B48)+IF(B48=Inputs!$C$12,Inputs!$C$14*Inputs!$C$18,0)</f>
        <v>0</v>
      </c>
      <c r="D48" s="6" t="n">
        <f aca="false">SUMIFS('KKR CF'!$F$6:$F$400,'KKR CF'!$E$6:$E$400,B48)</f>
        <v>0</v>
      </c>
      <c r="E48" s="6" t="n">
        <f aca="false">D48-C48</f>
        <v>0</v>
      </c>
      <c r="F48" s="6" t="n">
        <f aca="false">SUM(E$6:E48)</f>
        <v>11365312.6075886</v>
      </c>
    </row>
    <row r="49" customFormat="false" ht="15" hidden="false" customHeight="false" outlineLevel="0" collapsed="false">
      <c r="B49" s="15" t="n">
        <f aca="false">EOMONTH(B48,1)</f>
        <v>47664</v>
      </c>
      <c r="C49" s="10" t="n">
        <f aca="false">IF(B49=Inputs!$C$9,-Inputs!$C$17,0)+SUMIFS('Monthly Collections'!$H$6:$H$83,'Monthly Collections'!$I$6:$I$83,B49)+IF(B49=Inputs!$C$12,Inputs!$C$14*Inputs!$C$18,0)</f>
        <v>9128583.07313864</v>
      </c>
      <c r="D49" s="10" t="n">
        <f aca="false">SUMIFS('KKR CF'!$F$6:$F$400,'KKR CF'!$E$6:$E$400,B49)</f>
        <v>1591275.64325666</v>
      </c>
      <c r="E49" s="10" t="n">
        <f aca="false">D49-C49</f>
        <v>-7537307.42988198</v>
      </c>
      <c r="F49" s="10" t="n">
        <f aca="false">SUM(E$6:E49)</f>
        <v>3828005.17770657</v>
      </c>
    </row>
    <row r="50" customFormat="false" ht="15" hidden="false" customHeight="false" outlineLevel="0" collapsed="false">
      <c r="B50" s="13" t="n">
        <f aca="false">EOMONTH(B49,1)</f>
        <v>47695</v>
      </c>
      <c r="C50" s="6" t="n">
        <f aca="false">IF(B50=Inputs!$C$9,-Inputs!$C$17,0)+SUMIFS('Monthly Collections'!$H$6:$H$83,'Monthly Collections'!$I$6:$I$83,B50)+IF(B50=Inputs!$C$12,Inputs!$C$14*Inputs!$C$18,0)</f>
        <v>0</v>
      </c>
      <c r="D50" s="6" t="n">
        <f aca="false">SUMIFS('KKR CF'!$F$6:$F$400,'KKR CF'!$E$6:$E$400,B50)</f>
        <v>0</v>
      </c>
      <c r="E50" s="6" t="n">
        <f aca="false">D50-C50</f>
        <v>0</v>
      </c>
      <c r="F50" s="6" t="n">
        <f aca="false">SUM(E$6:E50)</f>
        <v>3828005.17770657</v>
      </c>
    </row>
    <row r="51" customFormat="false" ht="15" hidden="false" customHeight="false" outlineLevel="0" collapsed="false">
      <c r="B51" s="15" t="n">
        <f aca="false">EOMONTH(B50,1)</f>
        <v>47726</v>
      </c>
      <c r="C51" s="10" t="n">
        <f aca="false">IF(B51=Inputs!$C$9,-Inputs!$C$17,0)+SUMIFS('Monthly Collections'!$H$6:$H$83,'Monthly Collections'!$I$6:$I$83,B51)+IF(B51=Inputs!$C$12,Inputs!$C$14*Inputs!$C$18,0)</f>
        <v>0</v>
      </c>
      <c r="D51" s="10" t="n">
        <f aca="false">SUMIFS('KKR CF'!$F$6:$F$400,'KKR CF'!$E$6:$E$400,B51)</f>
        <v>0</v>
      </c>
      <c r="E51" s="10" t="n">
        <f aca="false">D51-C51</f>
        <v>0</v>
      </c>
      <c r="F51" s="10" t="n">
        <f aca="false">SUM(E$6:E51)</f>
        <v>3828005.17770657</v>
      </c>
    </row>
    <row r="52" customFormat="false" ht="15" hidden="false" customHeight="false" outlineLevel="0" collapsed="false">
      <c r="B52" s="13" t="n">
        <f aca="false">EOMONTH(B51,1)</f>
        <v>47756</v>
      </c>
      <c r="C52" s="6" t="n">
        <f aca="false">IF(B52=Inputs!$C$9,-Inputs!$C$17,0)+SUMIFS('Monthly Collections'!$H$6:$H$83,'Monthly Collections'!$I$6:$I$83,B52)+IF(B52=Inputs!$C$12,Inputs!$C$14*Inputs!$C$18,0)</f>
        <v>4584164.56866127</v>
      </c>
      <c r="D52" s="6" t="n">
        <f aca="false">SUMIFS('KKR CF'!$F$6:$F$400,'KKR CF'!$E$6:$E$400,B52)</f>
        <v>16254171.3939972</v>
      </c>
      <c r="E52" s="6" t="n">
        <f aca="false">D52-C52</f>
        <v>11670006.8253359</v>
      </c>
      <c r="F52" s="6" t="n">
        <f aca="false">SUM(E$6:E52)</f>
        <v>15498012.0030425</v>
      </c>
    </row>
    <row r="53" customFormat="false" ht="15" hidden="false" customHeight="false" outlineLevel="0" collapsed="false">
      <c r="B53" s="15" t="n">
        <f aca="false">EOMONTH(B52,1)</f>
        <v>47787</v>
      </c>
      <c r="C53" s="10" t="n">
        <f aca="false">IF(B53=Inputs!$C$9,-Inputs!$C$17,0)+SUMIFS('Monthly Collections'!$H$6:$H$83,'Monthly Collections'!$I$6:$I$83,B53)+IF(B53=Inputs!$C$12,Inputs!$C$14*Inputs!$C$18,0)</f>
        <v>0</v>
      </c>
      <c r="D53" s="10" t="n">
        <f aca="false">SUMIFS('KKR CF'!$F$6:$F$400,'KKR CF'!$E$6:$E$400,B53)</f>
        <v>0</v>
      </c>
      <c r="E53" s="10" t="n">
        <f aca="false">D53-C53</f>
        <v>0</v>
      </c>
      <c r="F53" s="10" t="n">
        <f aca="false">SUM(E$6:E53)</f>
        <v>15498012.0030425</v>
      </c>
    </row>
    <row r="54" customFormat="false" ht="15" hidden="false" customHeight="false" outlineLevel="0" collapsed="false">
      <c r="B54" s="13" t="n">
        <f aca="false">EOMONTH(B53,1)</f>
        <v>47817</v>
      </c>
      <c r="C54" s="6" t="n">
        <f aca="false">IF(B54=Inputs!$C$9,-Inputs!$C$17,0)+SUMIFS('Monthly Collections'!$H$6:$H$83,'Monthly Collections'!$I$6:$I$83,B54)+IF(B54=Inputs!$C$12,Inputs!$C$14*Inputs!$C$18,0)</f>
        <v>0</v>
      </c>
      <c r="D54" s="6" t="n">
        <f aca="false">SUMIFS('KKR CF'!$F$6:$F$400,'KKR CF'!$E$6:$E$400,B54)</f>
        <v>0</v>
      </c>
      <c r="E54" s="6" t="n">
        <f aca="false">D54-C54</f>
        <v>0</v>
      </c>
      <c r="F54" s="6" t="n">
        <f aca="false">SUM(E$6:E54)</f>
        <v>15498012.0030425</v>
      </c>
    </row>
    <row r="55" customFormat="false" ht="15" hidden="false" customHeight="false" outlineLevel="0" collapsed="false">
      <c r="B55" s="15" t="n">
        <f aca="false">EOMONTH(B54,1)</f>
        <v>47848</v>
      </c>
      <c r="C55" s="10" t="n">
        <f aca="false">IF(B55=Inputs!$C$9,-Inputs!$C$17,0)+SUMIFS('Monthly Collections'!$H$6:$H$83,'Monthly Collections'!$I$6:$I$83,B55)+IF(B55=Inputs!$C$12,Inputs!$C$14*Inputs!$C$18,0)</f>
        <v>55475888.2199785</v>
      </c>
      <c r="D55" s="10" t="n">
        <f aca="false">SUMIFS('KKR CF'!$F$6:$F$400,'KKR CF'!$E$6:$E$400,B55)</f>
        <v>47803577.235361</v>
      </c>
      <c r="E55" s="10" t="n">
        <f aca="false">D55-C55</f>
        <v>-7672310.98461747</v>
      </c>
      <c r="F55" s="10" t="n">
        <f aca="false">SUM(E$6:E55)</f>
        <v>7825701.01842503</v>
      </c>
    </row>
    <row r="56" customFormat="false" ht="15" hidden="false" customHeight="false" outlineLevel="0" collapsed="false">
      <c r="B56" s="13" t="n">
        <f aca="false">EOMONTH(B55,1)</f>
        <v>47879</v>
      </c>
      <c r="C56" s="6" t="n">
        <f aca="false">IF(B56=Inputs!$C$9,-Inputs!$C$17,0)+SUMIFS('Monthly Collections'!$H$6:$H$83,'Monthly Collections'!$I$6:$I$83,B56)+IF(B56=Inputs!$C$12,Inputs!$C$14*Inputs!$C$18,0)</f>
        <v>0</v>
      </c>
      <c r="D56" s="6" t="n">
        <f aca="false">SUMIFS('KKR CF'!$F$6:$F$400,'KKR CF'!$E$6:$E$400,B56)</f>
        <v>0</v>
      </c>
      <c r="E56" s="6" t="n">
        <f aca="false">D56-C56</f>
        <v>0</v>
      </c>
      <c r="F56" s="6" t="n">
        <f aca="false">SUM(E$6:E56)</f>
        <v>7825701.01842503</v>
      </c>
    </row>
    <row r="57" customFormat="false" ht="15" hidden="false" customHeight="false" outlineLevel="0" collapsed="false">
      <c r="B57" s="15" t="n">
        <f aca="false">EOMONTH(B56,1)</f>
        <v>47907</v>
      </c>
      <c r="C57" s="10" t="n">
        <f aca="false">IF(B57=Inputs!$C$9,-Inputs!$C$17,0)+SUMIFS('Monthly Collections'!$H$6:$H$83,'Monthly Collections'!$I$6:$I$83,B57)+IF(B57=Inputs!$C$12,Inputs!$C$14*Inputs!$C$18,0)</f>
        <v>0</v>
      </c>
      <c r="D57" s="10" t="n">
        <f aca="false">SUMIFS('KKR CF'!$F$6:$F$400,'KKR CF'!$E$6:$E$400,B57)</f>
        <v>0</v>
      </c>
      <c r="E57" s="10" t="n">
        <f aca="false">D57-C57</f>
        <v>0</v>
      </c>
      <c r="F57" s="10" t="n">
        <f aca="false">SUM(E$6:E57)</f>
        <v>7825701.01842503</v>
      </c>
    </row>
    <row r="58" customFormat="false" ht="15" hidden="false" customHeight="false" outlineLevel="0" collapsed="false">
      <c r="B58" s="13" t="n">
        <f aca="false">EOMONTH(B57,1)</f>
        <v>47938</v>
      </c>
      <c r="C58" s="6" t="n">
        <f aca="false">IF(B58=Inputs!$C$9,-Inputs!$C$17,0)+SUMIFS('Monthly Collections'!$H$6:$H$83,'Monthly Collections'!$I$6:$I$83,B58)+IF(B58=Inputs!$C$12,Inputs!$C$14*Inputs!$C$18,0)</f>
        <v>14413341.0028089</v>
      </c>
      <c r="D58" s="6" t="n">
        <f aca="false">SUMIFS('KKR CF'!$F$6:$F$400,'KKR CF'!$E$6:$E$400,B58)</f>
        <v>28575370.8091633</v>
      </c>
      <c r="E58" s="6" t="n">
        <f aca="false">D58-C58</f>
        <v>14162029.8063544</v>
      </c>
      <c r="F58" s="6" t="n">
        <f aca="false">SUM(E$6:E58)</f>
        <v>21987730.8247795</v>
      </c>
    </row>
    <row r="59" customFormat="false" ht="15" hidden="false" customHeight="false" outlineLevel="0" collapsed="false">
      <c r="B59" s="15" t="n">
        <f aca="false">EOMONTH(B58,1)</f>
        <v>47968</v>
      </c>
      <c r="C59" s="10" t="n">
        <f aca="false">IF(B59=Inputs!$C$9,-Inputs!$C$17,0)+SUMIFS('Monthly Collections'!$H$6:$H$83,'Monthly Collections'!$I$6:$I$83,B59)+IF(B59=Inputs!$C$12,Inputs!$C$14*Inputs!$C$18,0)</f>
        <v>0</v>
      </c>
      <c r="D59" s="10" t="n">
        <f aca="false">SUMIFS('KKR CF'!$F$6:$F$400,'KKR CF'!$E$6:$E$400,B59)</f>
        <v>0</v>
      </c>
      <c r="E59" s="10" t="n">
        <f aca="false">D59-C59</f>
        <v>0</v>
      </c>
      <c r="F59" s="10" t="n">
        <f aca="false">SUM(E$6:E59)</f>
        <v>21987730.8247795</v>
      </c>
    </row>
    <row r="60" customFormat="false" ht="15" hidden="false" customHeight="false" outlineLevel="0" collapsed="false">
      <c r="B60" s="13" t="n">
        <f aca="false">EOMONTH(B59,1)</f>
        <v>47999</v>
      </c>
      <c r="C60" s="6" t="n">
        <f aca="false">IF(B60=Inputs!$C$9,-Inputs!$C$17,0)+SUMIFS('Monthly Collections'!$H$6:$H$83,'Monthly Collections'!$I$6:$I$83,B60)+IF(B60=Inputs!$C$12,Inputs!$C$14*Inputs!$C$18,0)</f>
        <v>0</v>
      </c>
      <c r="D60" s="6" t="n">
        <f aca="false">SUMIFS('KKR CF'!$F$6:$F$400,'KKR CF'!$E$6:$E$400,B60)</f>
        <v>0</v>
      </c>
      <c r="E60" s="6" t="n">
        <f aca="false">D60-C60</f>
        <v>0</v>
      </c>
      <c r="F60" s="6" t="n">
        <f aca="false">SUM(E$6:E60)</f>
        <v>21987730.8247795</v>
      </c>
    </row>
    <row r="61" customFormat="false" ht="15" hidden="false" customHeight="false" outlineLevel="0" collapsed="false">
      <c r="B61" s="15" t="n">
        <f aca="false">EOMONTH(B60,1)</f>
        <v>48029</v>
      </c>
      <c r="C61" s="10" t="n">
        <f aca="false">IF(B61=Inputs!$C$9,-Inputs!$C$17,0)+SUMIFS('Monthly Collections'!$H$6:$H$83,'Monthly Collections'!$I$6:$I$83,B61)+IF(B61=Inputs!$C$12,Inputs!$C$14*Inputs!$C$18,0)</f>
        <v>29041119.3965978</v>
      </c>
      <c r="D61" s="10" t="n">
        <f aca="false">SUMIFS('KKR CF'!$F$6:$F$400,'KKR CF'!$E$6:$E$400,B61)</f>
        <v>17680635.3177208</v>
      </c>
      <c r="E61" s="10" t="n">
        <f aca="false">D61-C61</f>
        <v>-11360484.078877</v>
      </c>
      <c r="F61" s="10" t="n">
        <f aca="false">SUM(E$6:E61)</f>
        <v>10627246.7459025</v>
      </c>
    </row>
    <row r="62" customFormat="false" ht="15" hidden="false" customHeight="false" outlineLevel="0" collapsed="false">
      <c r="B62" s="13" t="n">
        <f aca="false">EOMONTH(B61,1)</f>
        <v>48060</v>
      </c>
      <c r="C62" s="6" t="n">
        <f aca="false">IF(B62=Inputs!$C$9,-Inputs!$C$17,0)+SUMIFS('Monthly Collections'!$H$6:$H$83,'Monthly Collections'!$I$6:$I$83,B62)+IF(B62=Inputs!$C$12,Inputs!$C$14*Inputs!$C$18,0)</f>
        <v>0</v>
      </c>
      <c r="D62" s="6" t="n">
        <f aca="false">SUMIFS('KKR CF'!$F$6:$F$400,'KKR CF'!$E$6:$E$400,B62)</f>
        <v>0</v>
      </c>
      <c r="E62" s="6" t="n">
        <f aca="false">D62-C62</f>
        <v>0</v>
      </c>
      <c r="F62" s="6" t="n">
        <f aca="false">SUM(E$6:E62)</f>
        <v>10627246.7459025</v>
      </c>
    </row>
    <row r="63" customFormat="false" ht="15" hidden="false" customHeight="false" outlineLevel="0" collapsed="false">
      <c r="B63" s="15" t="n">
        <f aca="false">EOMONTH(B62,1)</f>
        <v>48091</v>
      </c>
      <c r="C63" s="10" t="n">
        <f aca="false">IF(B63=Inputs!$C$9,-Inputs!$C$17,0)+SUMIFS('Monthly Collections'!$H$6:$H$83,'Monthly Collections'!$I$6:$I$83,B63)+IF(B63=Inputs!$C$12,Inputs!$C$14*Inputs!$C$18,0)</f>
        <v>0</v>
      </c>
      <c r="D63" s="10" t="n">
        <f aca="false">SUMIFS('KKR CF'!$F$6:$F$400,'KKR CF'!$E$6:$E$400,B63)</f>
        <v>0</v>
      </c>
      <c r="E63" s="10" t="n">
        <f aca="false">D63-C63</f>
        <v>0</v>
      </c>
      <c r="F63" s="10" t="n">
        <f aca="false">SUM(E$6:E63)</f>
        <v>10627246.7459025</v>
      </c>
    </row>
    <row r="64" customFormat="false" ht="15" hidden="false" customHeight="false" outlineLevel="0" collapsed="false">
      <c r="B64" s="13" t="n">
        <f aca="false">EOMONTH(B63,1)</f>
        <v>48121</v>
      </c>
      <c r="C64" s="6" t="n">
        <f aca="false">IF(B64=Inputs!$C$9,-Inputs!$C$17,0)+SUMIFS('Monthly Collections'!$H$6:$H$83,'Monthly Collections'!$I$6:$I$83,B64)+IF(B64=Inputs!$C$12,Inputs!$C$14*Inputs!$C$18,0)</f>
        <v>10061647.5877831</v>
      </c>
      <c r="D64" s="6" t="n">
        <f aca="false">SUMIFS('KKR CF'!$F$6:$F$400,'KKR CF'!$E$6:$E$400,B64)</f>
        <v>4689006.63558446</v>
      </c>
      <c r="E64" s="6" t="n">
        <f aca="false">D64-C64</f>
        <v>-5372640.95219862</v>
      </c>
      <c r="F64" s="6" t="n">
        <f aca="false">SUM(E$6:E64)</f>
        <v>5254605.79370385</v>
      </c>
    </row>
    <row r="65" customFormat="false" ht="15" hidden="false" customHeight="false" outlineLevel="0" collapsed="false">
      <c r="B65" s="15" t="n">
        <f aca="false">EOMONTH(B64,1)</f>
        <v>48152</v>
      </c>
      <c r="C65" s="10" t="n">
        <f aca="false">IF(B65=Inputs!$C$9,-Inputs!$C$17,0)+SUMIFS('Monthly Collections'!$H$6:$H$83,'Monthly Collections'!$I$6:$I$83,B65)+IF(B65=Inputs!$C$12,Inputs!$C$14*Inputs!$C$18,0)</f>
        <v>0</v>
      </c>
      <c r="D65" s="10" t="n">
        <f aca="false">SUMIFS('KKR CF'!$F$6:$F$400,'KKR CF'!$E$6:$E$400,B65)</f>
        <v>0</v>
      </c>
      <c r="E65" s="10" t="n">
        <f aca="false">D65-C65</f>
        <v>0</v>
      </c>
      <c r="F65" s="10" t="n">
        <f aca="false">SUM(E$6:E65)</f>
        <v>5254605.79370385</v>
      </c>
    </row>
    <row r="66" customFormat="false" ht="15" hidden="false" customHeight="false" outlineLevel="0" collapsed="false">
      <c r="B66" s="13" t="n">
        <f aca="false">EOMONTH(B65,1)</f>
        <v>48182</v>
      </c>
      <c r="C66" s="6" t="n">
        <f aca="false">IF(B66=Inputs!$C$9,-Inputs!$C$17,0)+SUMIFS('Monthly Collections'!$H$6:$H$83,'Monthly Collections'!$I$6:$I$83,B66)+IF(B66=Inputs!$C$12,Inputs!$C$14*Inputs!$C$18,0)</f>
        <v>0</v>
      </c>
      <c r="D66" s="6" t="n">
        <f aca="false">SUMIFS('KKR CF'!$F$6:$F$400,'KKR CF'!$E$6:$E$400,B66)</f>
        <v>0</v>
      </c>
      <c r="E66" s="6" t="n">
        <f aca="false">D66-C66</f>
        <v>0</v>
      </c>
      <c r="F66" s="6" t="n">
        <f aca="false">SUM(E$6:E66)</f>
        <v>5254605.79370385</v>
      </c>
    </row>
    <row r="67" customFormat="false" ht="15" hidden="false" customHeight="false" outlineLevel="0" collapsed="false">
      <c r="B67" s="15" t="n">
        <f aca="false">EOMONTH(B66,1)</f>
        <v>48213</v>
      </c>
      <c r="C67" s="10" t="n">
        <f aca="false">IF(B67=Inputs!$C$9,-Inputs!$C$17,0)+SUMIFS('Monthly Collections'!$H$6:$H$83,'Monthly Collections'!$I$6:$I$83,B67)+IF(B67=Inputs!$C$12,Inputs!$C$14*Inputs!$C$18,0)</f>
        <v>7329165.59746515</v>
      </c>
      <c r="D67" s="10" t="n">
        <f aca="false">SUMIFS('KKR CF'!$F$6:$F$400,'KKR CF'!$E$6:$E$400,B67)</f>
        <v>9346805.34873339</v>
      </c>
      <c r="E67" s="10" t="n">
        <f aca="false">D67-C67</f>
        <v>2017639.75126824</v>
      </c>
      <c r="F67" s="10" t="n">
        <f aca="false">SUM(E$6:E67)</f>
        <v>7272245.54497209</v>
      </c>
    </row>
    <row r="68" customFormat="false" ht="15" hidden="false" customHeight="false" outlineLevel="0" collapsed="false">
      <c r="B68" s="13" t="n">
        <f aca="false">EOMONTH(B67,1)</f>
        <v>48244</v>
      </c>
      <c r="C68" s="6" t="n">
        <f aca="false">IF(B68=Inputs!$C$9,-Inputs!$C$17,0)+SUMIFS('Monthly Collections'!$H$6:$H$83,'Monthly Collections'!$I$6:$I$83,B68)+IF(B68=Inputs!$C$12,Inputs!$C$14*Inputs!$C$18,0)</f>
        <v>0</v>
      </c>
      <c r="D68" s="6" t="n">
        <f aca="false">SUMIFS('KKR CF'!$F$6:$F$400,'KKR CF'!$E$6:$E$400,B68)</f>
        <v>0</v>
      </c>
      <c r="E68" s="6" t="n">
        <f aca="false">D68-C68</f>
        <v>0</v>
      </c>
      <c r="F68" s="6" t="n">
        <f aca="false">SUM(E$6:E68)</f>
        <v>7272245.54497209</v>
      </c>
    </row>
    <row r="69" customFormat="false" ht="15" hidden="false" customHeight="false" outlineLevel="0" collapsed="false">
      <c r="B69" s="15" t="n">
        <f aca="false">EOMONTH(B68,1)</f>
        <v>48273</v>
      </c>
      <c r="C69" s="10" t="n">
        <f aca="false">IF(B69=Inputs!$C$9,-Inputs!$C$17,0)+SUMIFS('Monthly Collections'!$H$6:$H$83,'Monthly Collections'!$I$6:$I$83,B69)+IF(B69=Inputs!$C$12,Inputs!$C$14*Inputs!$C$18,0)</f>
        <v>0</v>
      </c>
      <c r="D69" s="10" t="n">
        <f aca="false">SUMIFS('KKR CF'!$F$6:$F$400,'KKR CF'!$E$6:$E$400,B69)</f>
        <v>0</v>
      </c>
      <c r="E69" s="10" t="n">
        <f aca="false">D69-C69</f>
        <v>0</v>
      </c>
      <c r="F69" s="10" t="n">
        <f aca="false">SUM(E$6:E69)</f>
        <v>7272245.54497209</v>
      </c>
    </row>
    <row r="70" customFormat="false" ht="15" hidden="false" customHeight="false" outlineLevel="0" collapsed="false">
      <c r="B70" s="13" t="n">
        <f aca="false">EOMONTH(B69,1)</f>
        <v>48304</v>
      </c>
      <c r="C70" s="6" t="n">
        <f aca="false">IF(B70=Inputs!$C$9,-Inputs!$C$17,0)+SUMIFS('Monthly Collections'!$H$6:$H$83,'Monthly Collections'!$I$6:$I$83,B70)+IF(B70=Inputs!$C$12,Inputs!$C$14*Inputs!$C$18,0)</f>
        <v>14832124.1283395</v>
      </c>
      <c r="D70" s="6" t="n">
        <f aca="false">SUMIFS('KKR CF'!$F$6:$F$400,'KKR CF'!$E$6:$E$400,B70)</f>
        <v>15022341.1046947</v>
      </c>
      <c r="E70" s="6" t="n">
        <f aca="false">D70-C70</f>
        <v>190216.97635518</v>
      </c>
      <c r="F70" s="6" t="n">
        <f aca="false">SUM(E$6:E70)</f>
        <v>7462462.52132727</v>
      </c>
    </row>
    <row r="71" customFormat="false" ht="15" hidden="false" customHeight="false" outlineLevel="0" collapsed="false">
      <c r="B71" s="15" t="n">
        <f aca="false">EOMONTH(B70,1)</f>
        <v>48334</v>
      </c>
      <c r="C71" s="10" t="n">
        <f aca="false">IF(B71=Inputs!$C$9,-Inputs!$C$17,0)+SUMIFS('Monthly Collections'!$H$6:$H$83,'Monthly Collections'!$I$6:$I$83,B71)+IF(B71=Inputs!$C$12,Inputs!$C$14*Inputs!$C$18,0)</f>
        <v>0</v>
      </c>
      <c r="D71" s="10" t="n">
        <f aca="false">SUMIFS('KKR CF'!$F$6:$F$400,'KKR CF'!$E$6:$E$400,B71)</f>
        <v>0</v>
      </c>
      <c r="E71" s="10" t="n">
        <f aca="false">D71-C71</f>
        <v>0</v>
      </c>
      <c r="F71" s="10" t="n">
        <f aca="false">SUM(E$6:E71)</f>
        <v>7462462.52132727</v>
      </c>
    </row>
    <row r="72" customFormat="false" ht="15" hidden="false" customHeight="false" outlineLevel="0" collapsed="false">
      <c r="B72" s="13" t="n">
        <f aca="false">EOMONTH(B71,1)</f>
        <v>48365</v>
      </c>
      <c r="C72" s="6" t="n">
        <f aca="false">IF(B72=Inputs!$C$9,-Inputs!$C$17,0)+SUMIFS('Monthly Collections'!$H$6:$H$83,'Monthly Collections'!$I$6:$I$83,B72)+IF(B72=Inputs!$C$12,Inputs!$C$14*Inputs!$C$18,0)</f>
        <v>0</v>
      </c>
      <c r="D72" s="6" t="n">
        <f aca="false">SUMIFS('KKR CF'!$F$6:$F$400,'KKR CF'!$E$6:$E$400,B72)</f>
        <v>13656802.0861627</v>
      </c>
      <c r="E72" s="6" t="n">
        <f aca="false">D72-C72</f>
        <v>13656802.0861627</v>
      </c>
      <c r="F72" s="6" t="n">
        <f aca="false">SUM(E$6:E72)</f>
        <v>21119264.60749</v>
      </c>
    </row>
    <row r="73" customFormat="false" ht="15" hidden="false" customHeight="false" outlineLevel="0" collapsed="false">
      <c r="B73" s="15" t="n">
        <f aca="false">EOMONTH(B72,1)</f>
        <v>48395</v>
      </c>
      <c r="C73" s="10" t="n">
        <f aca="false">IF(B73=Inputs!$C$9,-Inputs!$C$17,0)+SUMIFS('Monthly Collections'!$H$6:$H$83,'Monthly Collections'!$I$6:$I$83,B73)+IF(B73=Inputs!$C$12,Inputs!$C$14*Inputs!$C$18,0)</f>
        <v>12537123.1695704</v>
      </c>
      <c r="D73" s="10" t="n">
        <f aca="false">SUMIFS('KKR CF'!$F$6:$F$400,'KKR CF'!$E$6:$E$400,B73)</f>
        <v>0</v>
      </c>
      <c r="E73" s="10" t="n">
        <f aca="false">D73-C73</f>
        <v>-12537123.1695704</v>
      </c>
      <c r="F73" s="10" t="n">
        <f aca="false">SUM(E$6:E73)</f>
        <v>8582141.43791961</v>
      </c>
    </row>
    <row r="74" customFormat="false" ht="15" hidden="false" customHeight="false" outlineLevel="0" collapsed="false">
      <c r="B74" s="13" t="n">
        <f aca="false">EOMONTH(B73,1)</f>
        <v>48426</v>
      </c>
      <c r="C74" s="6" t="n">
        <f aca="false">IF(B74=Inputs!$C$9,-Inputs!$C$17,0)+SUMIFS('Monthly Collections'!$H$6:$H$83,'Monthly Collections'!$I$6:$I$83,B74)+IF(B74=Inputs!$C$12,Inputs!$C$14*Inputs!$C$18,0)</f>
        <v>0</v>
      </c>
      <c r="D74" s="6" t="n">
        <f aca="false">SUMIFS('KKR CF'!$F$6:$F$400,'KKR CF'!$E$6:$E$400,B74)</f>
        <v>0</v>
      </c>
      <c r="E74" s="6" t="n">
        <f aca="false">D74-C74</f>
        <v>0</v>
      </c>
      <c r="F74" s="6" t="n">
        <f aca="false">SUM(E$6:E74)</f>
        <v>8582141.43791961</v>
      </c>
    </row>
    <row r="75" customFormat="false" ht="15" hidden="false" customHeight="false" outlineLevel="0" collapsed="false">
      <c r="B75" s="15" t="n">
        <f aca="false">EOMONTH(B74,1)</f>
        <v>48457</v>
      </c>
      <c r="C75" s="10" t="n">
        <f aca="false">IF(B75=Inputs!$C$9,-Inputs!$C$17,0)+SUMIFS('Monthly Collections'!$H$6:$H$83,'Monthly Collections'!$I$6:$I$83,B75)+IF(B75=Inputs!$C$12,Inputs!$C$14*Inputs!$C$18,0)</f>
        <v>0</v>
      </c>
      <c r="D75" s="10" t="n">
        <f aca="false">SUMIFS('KKR CF'!$F$6:$F$400,'KKR CF'!$E$6:$E$400,B75)</f>
        <v>0</v>
      </c>
      <c r="E75" s="10" t="n">
        <f aca="false">D75-C75</f>
        <v>0</v>
      </c>
      <c r="F75" s="10" t="n">
        <f aca="false">SUM(E$6:E75)</f>
        <v>8582141.43791961</v>
      </c>
    </row>
    <row r="76" customFormat="false" ht="15" hidden="false" customHeight="false" outlineLevel="0" collapsed="false">
      <c r="B76" s="13" t="n">
        <f aca="false">EOMONTH(B75,1)</f>
        <v>48487</v>
      </c>
      <c r="C76" s="6" t="n">
        <f aca="false">IF(B76=Inputs!$C$9,-Inputs!$C$17,0)+SUMIFS('Monthly Collections'!$H$6:$H$83,'Monthly Collections'!$I$6:$I$83,B76)+IF(B76=Inputs!$C$12,Inputs!$C$14*Inputs!$C$18,0)</f>
        <v>0</v>
      </c>
      <c r="D76" s="6" t="n">
        <f aca="false">SUMIFS('KKR CF'!$F$6:$F$400,'KKR CF'!$E$6:$E$400,B76)</f>
        <v>0</v>
      </c>
      <c r="E76" s="6" t="n">
        <f aca="false">D76-C76</f>
        <v>0</v>
      </c>
      <c r="F76" s="6" t="n">
        <f aca="false">SUM(E$6:E76)</f>
        <v>8582141.43791961</v>
      </c>
    </row>
    <row r="77" customFormat="false" ht="15" hidden="false" customHeight="false" outlineLevel="0" collapsed="false">
      <c r="B77" s="15" t="n">
        <f aca="false">EOMONTH(B76,1)</f>
        <v>48518</v>
      </c>
      <c r="C77" s="10" t="n">
        <f aca="false">IF(B77=Inputs!$C$9,-Inputs!$C$17,0)+SUMIFS('Monthly Collections'!$H$6:$H$83,'Monthly Collections'!$I$6:$I$83,B77)+IF(B77=Inputs!$C$12,Inputs!$C$14*Inputs!$C$18,0)</f>
        <v>0</v>
      </c>
      <c r="D77" s="10" t="n">
        <f aca="false">SUMIFS('KKR CF'!$F$6:$F$400,'KKR CF'!$E$6:$E$400,B77)</f>
        <v>0</v>
      </c>
      <c r="E77" s="10" t="n">
        <f aca="false">D77-C77</f>
        <v>0</v>
      </c>
      <c r="F77" s="10" t="n">
        <f aca="false">SUM(E$6:E77)</f>
        <v>8582141.43791961</v>
      </c>
    </row>
    <row r="78" customFormat="false" ht="15" hidden="false" customHeight="false" outlineLevel="0" collapsed="false">
      <c r="B78" s="13" t="n">
        <f aca="false">EOMONTH(B77,1)</f>
        <v>48548</v>
      </c>
      <c r="C78" s="6" t="n">
        <f aca="false">IF(B78=Inputs!$C$9,-Inputs!$C$17,0)+SUMIFS('Monthly Collections'!$H$6:$H$83,'Monthly Collections'!$I$6:$I$83,B78)+IF(B78=Inputs!$C$12,Inputs!$C$14*Inputs!$C$18,0)</f>
        <v>0</v>
      </c>
      <c r="D78" s="6" t="n">
        <f aca="false">SUMIFS('KKR CF'!$F$6:$F$400,'KKR CF'!$E$6:$E$400,B78)</f>
        <v>0</v>
      </c>
      <c r="E78" s="6" t="n">
        <f aca="false">D78-C78</f>
        <v>0</v>
      </c>
      <c r="F78" s="6" t="n">
        <f aca="false">SUM(E$6:E78)</f>
        <v>8582141.43791961</v>
      </c>
    </row>
    <row r="79" customFormat="false" ht="15" hidden="false" customHeight="false" outlineLevel="0" collapsed="false">
      <c r="B79" s="4" t="s">
        <v>15</v>
      </c>
      <c r="C79" s="22" t="n">
        <f aca="false">SUM(C6:C78)</f>
        <v>104632971.450547</v>
      </c>
      <c r="D79" s="22" t="n">
        <f aca="false">SUM(D6:D78)</f>
        <v>113215112.888467</v>
      </c>
      <c r="E79" s="22" t="n">
        <f aca="false">SUM(E6:E78)</f>
        <v>8582141.43791961</v>
      </c>
      <c r="F79" s="4"/>
    </row>
  </sheetData>
  <mergeCells count="1">
    <mergeCell ref="H23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17</v>
      </c>
    </row>
    <row r="3" customFormat="false" ht="3" hidden="false" customHeight="true" outlineLevel="0" collapsed="false">
      <c r="B3" s="2"/>
      <c r="C3" s="2"/>
      <c r="D3" s="2"/>
    </row>
    <row r="5" customFormat="false" ht="31.5" hidden="false" customHeight="true" outlineLevel="0" collapsed="false">
      <c r="B5" s="3" t="s">
        <v>18</v>
      </c>
      <c r="C5" s="3" t="s">
        <v>19</v>
      </c>
      <c r="D5" s="3" t="s">
        <v>20</v>
      </c>
    </row>
    <row r="6" customFormat="false" ht="15" hidden="false" customHeight="false" outlineLevel="0" collapsed="false">
      <c r="B6" s="7" t="s">
        <v>21</v>
      </c>
      <c r="C6" s="24" t="n">
        <v>0.353982299408071</v>
      </c>
      <c r="D6" s="25" t="s">
        <v>22</v>
      </c>
    </row>
    <row r="7" customFormat="false" ht="15" hidden="false" customHeight="false" outlineLevel="0" collapsed="false">
      <c r="B7" s="11" t="s">
        <v>23</v>
      </c>
      <c r="C7" s="26" t="n">
        <v>337384008.03</v>
      </c>
      <c r="D7" s="27" t="s">
        <v>24</v>
      </c>
    </row>
    <row r="8" customFormat="false" ht="15" hidden="false" customHeight="false" outlineLevel="0" collapsed="false">
      <c r="B8" s="7" t="s">
        <v>25</v>
      </c>
      <c r="C8" s="28" t="n">
        <v>0.5</v>
      </c>
      <c r="D8" s="25" t="s">
        <v>26</v>
      </c>
    </row>
    <row r="9" customFormat="false" ht="15" hidden="false" customHeight="false" outlineLevel="0" collapsed="false">
      <c r="B9" s="11" t="s">
        <v>27</v>
      </c>
      <c r="C9" s="29" t="n">
        <v>46387</v>
      </c>
      <c r="D9" s="27" t="s">
        <v>28</v>
      </c>
    </row>
    <row r="10" customFormat="false" ht="15" hidden="false" customHeight="false" outlineLevel="0" collapsed="false">
      <c r="B10" s="7" t="s">
        <v>29</v>
      </c>
      <c r="C10" s="30" t="n">
        <v>46388</v>
      </c>
      <c r="D10" s="25" t="s">
        <v>30</v>
      </c>
    </row>
    <row r="11" customFormat="false" ht="15" hidden="false" customHeight="false" outlineLevel="0" collapsed="false">
      <c r="B11" s="11" t="s">
        <v>31</v>
      </c>
      <c r="C11" s="26" t="n">
        <v>15332621.8618849</v>
      </c>
      <c r="D11" s="27" t="s">
        <v>32</v>
      </c>
    </row>
    <row r="12" customFormat="false" ht="15" hidden="false" customHeight="false" outlineLevel="0" collapsed="false">
      <c r="B12" s="7" t="s">
        <v>33</v>
      </c>
      <c r="C12" s="30" t="n">
        <v>46477</v>
      </c>
      <c r="D12" s="25" t="s">
        <v>34</v>
      </c>
    </row>
    <row r="13" customFormat="false" ht="15" hidden="false" customHeight="false" outlineLevel="0" collapsed="false">
      <c r="B13" s="11" t="s">
        <v>35</v>
      </c>
      <c r="C13" s="31" t="n">
        <v>1</v>
      </c>
      <c r="D13" s="27" t="s">
        <v>36</v>
      </c>
    </row>
    <row r="14" customFormat="false" ht="15" hidden="false" customHeight="false" outlineLevel="0" collapsed="false">
      <c r="B14" s="7" t="s">
        <v>37</v>
      </c>
      <c r="C14" s="32" t="n">
        <v>0</v>
      </c>
      <c r="D14" s="25" t="s">
        <v>38</v>
      </c>
    </row>
    <row r="15" customFormat="false" ht="15" hidden="false" customHeight="false" outlineLevel="0" collapsed="false">
      <c r="B15" s="11" t="s">
        <v>39</v>
      </c>
      <c r="C15" s="29" t="n">
        <v>46203</v>
      </c>
      <c r="D15" s="27" t="s">
        <v>40</v>
      </c>
    </row>
    <row r="17" customFormat="false" ht="15" hidden="false" customHeight="false" outlineLevel="0" collapsed="false">
      <c r="B17" s="7" t="s">
        <v>41</v>
      </c>
      <c r="C17" s="14" t="n">
        <f aca="false">C7*C8</f>
        <v>168692004.015</v>
      </c>
    </row>
    <row r="18" customFormat="false" ht="15" hidden="false" customHeight="false" outlineLevel="0" collapsed="false">
      <c r="B18" s="7" t="s">
        <v>42</v>
      </c>
      <c r="C18" s="14" t="n">
        <f aca="false">C11*C6</f>
        <v>5427476.74262446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5" min="3" style="0" width="18"/>
  </cols>
  <sheetData>
    <row r="2" customFormat="false" ht="17.35" hidden="false" customHeight="false" outlineLevel="0" collapsed="false">
      <c r="B2" s="1" t="s">
        <v>43</v>
      </c>
    </row>
    <row r="3" customFormat="false" ht="3" hidden="false" customHeight="true" outlineLevel="0" collapsed="false">
      <c r="B3" s="2"/>
      <c r="C3" s="2"/>
      <c r="D3" s="2"/>
      <c r="E3" s="2"/>
    </row>
    <row r="4" customFormat="false" ht="24" hidden="false" customHeight="true" outlineLevel="0" collapsed="false">
      <c r="B4" s="23" t="s">
        <v>44</v>
      </c>
      <c r="C4" s="23"/>
      <c r="D4" s="23"/>
      <c r="E4" s="23"/>
    </row>
    <row r="5" customFormat="false" ht="31.5" hidden="false" customHeight="true" outlineLevel="0" collapsed="false">
      <c r="B5" s="3" t="s">
        <v>1</v>
      </c>
      <c r="C5" s="3" t="s">
        <v>45</v>
      </c>
      <c r="D5" s="3" t="s">
        <v>46</v>
      </c>
      <c r="E5" s="3" t="s">
        <v>47</v>
      </c>
    </row>
    <row r="6" customFormat="false" ht="15" hidden="false" customHeight="false" outlineLevel="0" collapsed="false">
      <c r="B6" s="33" t="n">
        <v>46203</v>
      </c>
      <c r="C6" s="34" t="n">
        <v>0</v>
      </c>
      <c r="D6" s="34" t="n">
        <v>0</v>
      </c>
      <c r="E6" s="35" t="n">
        <f aca="false">C6+D6</f>
        <v>0</v>
      </c>
    </row>
    <row r="7" customFormat="false" ht="15" hidden="false" customHeight="false" outlineLevel="0" collapsed="false">
      <c r="B7" s="33" t="n">
        <v>46234</v>
      </c>
      <c r="C7" s="34" t="n">
        <v>0</v>
      </c>
      <c r="D7" s="34" t="n">
        <v>5801235.03</v>
      </c>
      <c r="E7" s="35" t="n">
        <f aca="false">C7+D7</f>
        <v>5801235.03</v>
      </c>
    </row>
    <row r="8" customFormat="false" ht="15" hidden="false" customHeight="false" outlineLevel="0" collapsed="false">
      <c r="B8" s="33" t="n">
        <v>46265</v>
      </c>
      <c r="C8" s="34" t="n">
        <v>0</v>
      </c>
      <c r="D8" s="34" t="n">
        <v>6016712.81</v>
      </c>
      <c r="E8" s="35" t="n">
        <f aca="false">C8+D8</f>
        <v>6016712.81</v>
      </c>
    </row>
    <row r="9" customFormat="false" ht="15" hidden="false" customHeight="false" outlineLevel="0" collapsed="false">
      <c r="B9" s="33" t="n">
        <v>46295</v>
      </c>
      <c r="C9" s="34" t="n">
        <v>0</v>
      </c>
      <c r="D9" s="34" t="n">
        <v>6157489.39</v>
      </c>
      <c r="E9" s="35" t="n">
        <f aca="false">C9+D9</f>
        <v>6157489.39</v>
      </c>
    </row>
    <row r="10" customFormat="false" ht="15" hidden="false" customHeight="false" outlineLevel="0" collapsed="false">
      <c r="B10" s="33" t="n">
        <v>46326</v>
      </c>
      <c r="C10" s="34" t="n">
        <v>0</v>
      </c>
      <c r="D10" s="34" t="n">
        <v>5574857.08614344</v>
      </c>
      <c r="E10" s="35" t="n">
        <f aca="false">C10+D10</f>
        <v>5574857.08614344</v>
      </c>
    </row>
    <row r="11" customFormat="false" ht="15" hidden="false" customHeight="false" outlineLevel="0" collapsed="false">
      <c r="B11" s="33" t="n">
        <v>46356</v>
      </c>
      <c r="C11" s="34" t="n">
        <v>0</v>
      </c>
      <c r="D11" s="34" t="n">
        <v>5760531.96778447</v>
      </c>
      <c r="E11" s="35" t="n">
        <f aca="false">C11+D11</f>
        <v>5760531.96778447</v>
      </c>
    </row>
    <row r="12" customFormat="false" ht="15" hidden="false" customHeight="false" outlineLevel="0" collapsed="false">
      <c r="B12" s="33" t="n">
        <v>46387</v>
      </c>
      <c r="C12" s="34" t="n">
        <v>0</v>
      </c>
      <c r="D12" s="34" t="n">
        <v>5574473.7554972</v>
      </c>
      <c r="E12" s="35" t="n">
        <f aca="false">C12+D12</f>
        <v>5574473.7554972</v>
      </c>
    </row>
    <row r="13" customFormat="false" ht="15" hidden="false" customHeight="false" outlineLevel="0" collapsed="false">
      <c r="B13" s="33" t="n">
        <v>46418</v>
      </c>
      <c r="C13" s="34" t="n">
        <v>0</v>
      </c>
      <c r="D13" s="34" t="n">
        <v>5534797.16855679</v>
      </c>
      <c r="E13" s="35" t="n">
        <f aca="false">C13+D13</f>
        <v>5534797.16855679</v>
      </c>
    </row>
    <row r="14" customFormat="false" ht="15" hidden="false" customHeight="false" outlineLevel="0" collapsed="false">
      <c r="B14" s="33" t="n">
        <v>46446</v>
      </c>
      <c r="C14" s="34" t="n">
        <v>0</v>
      </c>
      <c r="D14" s="34" t="n">
        <v>5535683.10993312</v>
      </c>
      <c r="E14" s="35" t="n">
        <f aca="false">C14+D14</f>
        <v>5535683.10993312</v>
      </c>
    </row>
    <row r="15" customFormat="false" ht="15" hidden="false" customHeight="false" outlineLevel="0" collapsed="false">
      <c r="B15" s="33" t="n">
        <v>46477</v>
      </c>
      <c r="C15" s="34" t="n">
        <v>0</v>
      </c>
      <c r="D15" s="34" t="n">
        <v>5336678.62527082</v>
      </c>
      <c r="E15" s="35" t="n">
        <f aca="false">C15+D15</f>
        <v>5336678.62527082</v>
      </c>
    </row>
    <row r="16" customFormat="false" ht="15" hidden="false" customHeight="false" outlineLevel="0" collapsed="false">
      <c r="B16" s="33" t="n">
        <v>46507</v>
      </c>
      <c r="C16" s="34" t="n">
        <v>0</v>
      </c>
      <c r="D16" s="34" t="n">
        <v>5333537.09308497</v>
      </c>
      <c r="E16" s="35" t="n">
        <f aca="false">C16+D16</f>
        <v>5333537.09308497</v>
      </c>
    </row>
    <row r="17" customFormat="false" ht="15" hidden="false" customHeight="false" outlineLevel="0" collapsed="false">
      <c r="B17" s="33" t="n">
        <v>46538</v>
      </c>
      <c r="C17" s="34" t="n">
        <v>0</v>
      </c>
      <c r="D17" s="34" t="n">
        <v>5159473.89426633</v>
      </c>
      <c r="E17" s="35" t="n">
        <f aca="false">C17+D17</f>
        <v>5159473.89426633</v>
      </c>
    </row>
    <row r="18" customFormat="false" ht="15" hidden="false" customHeight="false" outlineLevel="0" collapsed="false">
      <c r="B18" s="33" t="n">
        <v>46568</v>
      </c>
      <c r="C18" s="34" t="n">
        <v>0</v>
      </c>
      <c r="D18" s="34" t="n">
        <v>5184298.60907558</v>
      </c>
      <c r="E18" s="35" t="n">
        <f aca="false">C18+D18</f>
        <v>5184298.60907558</v>
      </c>
    </row>
    <row r="19" customFormat="false" ht="15" hidden="false" customHeight="false" outlineLevel="0" collapsed="false">
      <c r="B19" s="33" t="n">
        <v>46599</v>
      </c>
      <c r="C19" s="34" t="n">
        <v>0</v>
      </c>
      <c r="D19" s="34" t="n">
        <v>5055142.94358055</v>
      </c>
      <c r="E19" s="35" t="n">
        <f aca="false">C19+D19</f>
        <v>5055142.94358055</v>
      </c>
    </row>
    <row r="20" customFormat="false" ht="15" hidden="false" customHeight="false" outlineLevel="0" collapsed="false">
      <c r="B20" s="33" t="n">
        <v>46630</v>
      </c>
      <c r="C20" s="34" t="n">
        <v>0</v>
      </c>
      <c r="D20" s="34" t="n">
        <v>5139191.03080719</v>
      </c>
      <c r="E20" s="35" t="n">
        <f aca="false">C20+D20</f>
        <v>5139191.03080719</v>
      </c>
    </row>
    <row r="21" customFormat="false" ht="15" hidden="false" customHeight="false" outlineLevel="0" collapsed="false">
      <c r="B21" s="33" t="n">
        <v>46660</v>
      </c>
      <c r="C21" s="34" t="n">
        <v>0</v>
      </c>
      <c r="D21" s="34" t="n">
        <v>5030360.89210166</v>
      </c>
      <c r="E21" s="35" t="n">
        <f aca="false">C21+D21</f>
        <v>5030360.89210166</v>
      </c>
    </row>
    <row r="22" customFormat="false" ht="15" hidden="false" customHeight="false" outlineLevel="0" collapsed="false">
      <c r="B22" s="33" t="n">
        <v>46691</v>
      </c>
      <c r="C22" s="34" t="n">
        <v>0</v>
      </c>
      <c r="D22" s="34" t="n">
        <v>4531510.02431214</v>
      </c>
      <c r="E22" s="35" t="n">
        <f aca="false">C22+D22</f>
        <v>4531510.02431214</v>
      </c>
    </row>
    <row r="23" customFormat="false" ht="15" hidden="false" customHeight="false" outlineLevel="0" collapsed="false">
      <c r="B23" s="33" t="n">
        <v>46721</v>
      </c>
      <c r="C23" s="34" t="n">
        <v>0</v>
      </c>
      <c r="D23" s="34" t="n">
        <v>4551431.69057238</v>
      </c>
      <c r="E23" s="35" t="n">
        <f aca="false">C23+D23</f>
        <v>4551431.69057238</v>
      </c>
    </row>
    <row r="24" customFormat="false" ht="15" hidden="false" customHeight="false" outlineLevel="0" collapsed="false">
      <c r="B24" s="33" t="n">
        <v>46752</v>
      </c>
      <c r="C24" s="34" t="n">
        <v>0</v>
      </c>
      <c r="D24" s="34" t="n">
        <v>4390833.00033407</v>
      </c>
      <c r="E24" s="35" t="n">
        <f aca="false">C24+D24</f>
        <v>4390833.00033407</v>
      </c>
    </row>
    <row r="25" customFormat="false" ht="15" hidden="false" customHeight="false" outlineLevel="0" collapsed="false">
      <c r="B25" s="33" t="n">
        <v>46783</v>
      </c>
      <c r="C25" s="34" t="n">
        <v>0</v>
      </c>
      <c r="D25" s="34" t="n">
        <v>4526599.02056796</v>
      </c>
      <c r="E25" s="35" t="n">
        <f aca="false">C25+D25</f>
        <v>4526599.02056796</v>
      </c>
    </row>
    <row r="26" customFormat="false" ht="15" hidden="false" customHeight="false" outlineLevel="0" collapsed="false">
      <c r="B26" s="33" t="n">
        <v>46812</v>
      </c>
      <c r="C26" s="34" t="n">
        <v>0</v>
      </c>
      <c r="D26" s="34" t="n">
        <v>4052563.6431685</v>
      </c>
      <c r="E26" s="35" t="n">
        <f aca="false">C26+D26</f>
        <v>4052563.6431685</v>
      </c>
    </row>
    <row r="27" customFormat="false" ht="15" hidden="false" customHeight="false" outlineLevel="0" collapsed="false">
      <c r="B27" s="33" t="n">
        <v>46843</v>
      </c>
      <c r="C27" s="34" t="n">
        <v>0</v>
      </c>
      <c r="D27" s="34" t="n">
        <v>4113463.77857641</v>
      </c>
      <c r="E27" s="35" t="n">
        <f aca="false">C27+D27</f>
        <v>4113463.77857641</v>
      </c>
    </row>
    <row r="28" customFormat="false" ht="15" hidden="false" customHeight="false" outlineLevel="0" collapsed="false">
      <c r="B28" s="33" t="n">
        <v>46873</v>
      </c>
      <c r="C28" s="34" t="n">
        <v>0</v>
      </c>
      <c r="D28" s="34" t="n">
        <v>4064611.82698513</v>
      </c>
      <c r="E28" s="35" t="n">
        <f aca="false">C28+D28</f>
        <v>4064611.82698513</v>
      </c>
    </row>
    <row r="29" customFormat="false" ht="15" hidden="false" customHeight="false" outlineLevel="0" collapsed="false">
      <c r="B29" s="33" t="n">
        <v>46904</v>
      </c>
      <c r="C29" s="34" t="n">
        <v>0</v>
      </c>
      <c r="D29" s="34" t="n">
        <v>3874221.76310655</v>
      </c>
      <c r="E29" s="35" t="n">
        <f aca="false">C29+D29</f>
        <v>3874221.76310655</v>
      </c>
    </row>
    <row r="30" customFormat="false" ht="15" hidden="false" customHeight="false" outlineLevel="0" collapsed="false">
      <c r="B30" s="33" t="n">
        <v>46934</v>
      </c>
      <c r="C30" s="34" t="n">
        <v>0</v>
      </c>
      <c r="D30" s="34" t="n">
        <v>4004902.99278541</v>
      </c>
      <c r="E30" s="35" t="n">
        <f aca="false">C30+D30</f>
        <v>4004902.99278541</v>
      </c>
    </row>
    <row r="31" customFormat="false" ht="15" hidden="false" customHeight="false" outlineLevel="0" collapsed="false">
      <c r="B31" s="33" t="n">
        <v>46965</v>
      </c>
      <c r="C31" s="34" t="n">
        <v>0</v>
      </c>
      <c r="D31" s="34" t="n">
        <v>3873226.71385705</v>
      </c>
      <c r="E31" s="35" t="n">
        <f aca="false">C31+D31</f>
        <v>3873226.71385705</v>
      </c>
    </row>
    <row r="32" customFormat="false" ht="15" hidden="false" customHeight="false" outlineLevel="0" collapsed="false">
      <c r="B32" s="33" t="n">
        <v>46996</v>
      </c>
      <c r="C32" s="34" t="n">
        <v>0</v>
      </c>
      <c r="D32" s="34" t="n">
        <v>3889834.32169393</v>
      </c>
      <c r="E32" s="35" t="n">
        <f aca="false">C32+D32</f>
        <v>3889834.32169393</v>
      </c>
    </row>
    <row r="33" customFormat="false" ht="15" hidden="false" customHeight="false" outlineLevel="0" collapsed="false">
      <c r="B33" s="33" t="n">
        <v>47026</v>
      </c>
      <c r="C33" s="34" t="n">
        <v>0</v>
      </c>
      <c r="D33" s="34" t="n">
        <v>3753713.83882682</v>
      </c>
      <c r="E33" s="35" t="n">
        <f aca="false">C33+D33</f>
        <v>3753713.83882682</v>
      </c>
    </row>
    <row r="34" customFormat="false" ht="15" hidden="false" customHeight="false" outlineLevel="0" collapsed="false">
      <c r="B34" s="33" t="n">
        <v>47057</v>
      </c>
      <c r="C34" s="34" t="n">
        <v>0</v>
      </c>
      <c r="D34" s="34" t="n">
        <v>2824996.27565416</v>
      </c>
      <c r="E34" s="35" t="n">
        <f aca="false">C34+D34</f>
        <v>2824996.27565416</v>
      </c>
    </row>
    <row r="35" customFormat="false" ht="15" hidden="false" customHeight="false" outlineLevel="0" collapsed="false">
      <c r="B35" s="33" t="n">
        <v>47087</v>
      </c>
      <c r="C35" s="34" t="n">
        <v>0</v>
      </c>
      <c r="D35" s="34" t="n">
        <v>2814181.46021437</v>
      </c>
      <c r="E35" s="35" t="n">
        <f aca="false">C35+D35</f>
        <v>2814181.46021437</v>
      </c>
    </row>
    <row r="36" customFormat="false" ht="15" hidden="false" customHeight="false" outlineLevel="0" collapsed="false">
      <c r="B36" s="33" t="n">
        <v>47118</v>
      </c>
      <c r="C36" s="34" t="n">
        <v>0</v>
      </c>
      <c r="D36" s="34" t="n">
        <v>2640443.9746504</v>
      </c>
      <c r="E36" s="35" t="n">
        <f aca="false">C36+D36</f>
        <v>2640443.9746504</v>
      </c>
    </row>
    <row r="37" customFormat="false" ht="15" hidden="false" customHeight="false" outlineLevel="0" collapsed="false">
      <c r="B37" s="33" t="n">
        <v>47149</v>
      </c>
      <c r="C37" s="34" t="n">
        <v>0</v>
      </c>
      <c r="D37" s="34" t="n">
        <v>2434258.09128607</v>
      </c>
      <c r="E37" s="35" t="n">
        <f aca="false">C37+D37</f>
        <v>2434258.09128607</v>
      </c>
    </row>
    <row r="38" customFormat="false" ht="15" hidden="false" customHeight="false" outlineLevel="0" collapsed="false">
      <c r="B38" s="33" t="n">
        <v>47177</v>
      </c>
      <c r="C38" s="34" t="n">
        <v>0</v>
      </c>
      <c r="D38" s="34" t="n">
        <v>2384317.34909393</v>
      </c>
      <c r="E38" s="35" t="n">
        <f aca="false">C38+D38</f>
        <v>2384317.34909393</v>
      </c>
    </row>
    <row r="39" customFormat="false" ht="15" hidden="false" customHeight="false" outlineLevel="0" collapsed="false">
      <c r="B39" s="33" t="n">
        <v>47208</v>
      </c>
      <c r="C39" s="34" t="n">
        <v>0</v>
      </c>
      <c r="D39" s="34" t="n">
        <v>2505302.64895725</v>
      </c>
      <c r="E39" s="35" t="n">
        <f aca="false">C39+D39</f>
        <v>2505302.64895725</v>
      </c>
    </row>
    <row r="40" customFormat="false" ht="15" hidden="false" customHeight="false" outlineLevel="0" collapsed="false">
      <c r="B40" s="33" t="n">
        <v>47238</v>
      </c>
      <c r="C40" s="34" t="n">
        <v>0</v>
      </c>
      <c r="D40" s="34" t="n">
        <v>2336981.39466612</v>
      </c>
      <c r="E40" s="35" t="n">
        <f aca="false">C40+D40</f>
        <v>2336981.39466612</v>
      </c>
    </row>
    <row r="41" customFormat="false" ht="15" hidden="false" customHeight="false" outlineLevel="0" collapsed="false">
      <c r="B41" s="33" t="n">
        <v>47269</v>
      </c>
      <c r="C41" s="34" t="n">
        <v>0</v>
      </c>
      <c r="D41" s="34" t="n">
        <v>2158682.71283117</v>
      </c>
      <c r="E41" s="35" t="n">
        <f aca="false">C41+D41</f>
        <v>2158682.71283117</v>
      </c>
    </row>
    <row r="42" customFormat="false" ht="15" hidden="false" customHeight="false" outlineLevel="0" collapsed="false">
      <c r="B42" s="33" t="n">
        <v>47299</v>
      </c>
      <c r="C42" s="34" t="n">
        <v>62589180.8952522</v>
      </c>
      <c r="D42" s="34" t="n">
        <v>2479754.01814971</v>
      </c>
      <c r="E42" s="35" t="n">
        <f aca="false">C42+D42</f>
        <v>65068934.9134019</v>
      </c>
    </row>
    <row r="43" customFormat="false" ht="15" hidden="false" customHeight="false" outlineLevel="0" collapsed="false">
      <c r="B43" s="33" t="n">
        <v>47330</v>
      </c>
      <c r="C43" s="34" t="n">
        <v>25559934.3531659</v>
      </c>
      <c r="D43" s="34" t="n">
        <v>1951894.54582074</v>
      </c>
      <c r="E43" s="35" t="n">
        <f aca="false">C43+D43</f>
        <v>27511828.8989867</v>
      </c>
    </row>
    <row r="44" customFormat="false" ht="15" hidden="false" customHeight="false" outlineLevel="0" collapsed="false">
      <c r="B44" s="33" t="n">
        <v>47361</v>
      </c>
      <c r="C44" s="34" t="n">
        <v>22153276.2998598</v>
      </c>
      <c r="D44" s="34" t="n">
        <v>2666411.36201918</v>
      </c>
      <c r="E44" s="35" t="n">
        <f aca="false">C44+D44</f>
        <v>24819687.661879</v>
      </c>
    </row>
    <row r="45" customFormat="false" ht="15" hidden="false" customHeight="false" outlineLevel="0" collapsed="false">
      <c r="B45" s="33" t="n">
        <v>47391</v>
      </c>
      <c r="C45" s="34" t="n">
        <v>0</v>
      </c>
      <c r="D45" s="34" t="n">
        <v>1834322.98225193</v>
      </c>
      <c r="E45" s="35" t="n">
        <f aca="false">C45+D45</f>
        <v>1834322.98225193</v>
      </c>
    </row>
    <row r="46" customFormat="false" ht="15" hidden="false" customHeight="false" outlineLevel="0" collapsed="false">
      <c r="B46" s="33" t="n">
        <v>47422</v>
      </c>
      <c r="C46" s="34" t="n">
        <v>8324266.10960446</v>
      </c>
      <c r="D46" s="34" t="n">
        <v>2687164.03763948</v>
      </c>
      <c r="E46" s="35" t="n">
        <f aca="false">C46+D46</f>
        <v>11011430.1472439</v>
      </c>
    </row>
    <row r="47" customFormat="false" ht="15" hidden="false" customHeight="false" outlineLevel="0" collapsed="false">
      <c r="B47" s="33" t="n">
        <v>47452</v>
      </c>
      <c r="C47" s="34" t="n">
        <v>28649295.5905192</v>
      </c>
      <c r="D47" s="34" t="n">
        <v>3632587.65706418</v>
      </c>
      <c r="E47" s="35" t="n">
        <f aca="false">C47+D47</f>
        <v>32281883.2475834</v>
      </c>
    </row>
    <row r="48" customFormat="false" ht="15" hidden="false" customHeight="false" outlineLevel="0" collapsed="false">
      <c r="B48" s="33" t="n">
        <v>47483</v>
      </c>
      <c r="C48" s="34" t="n">
        <v>104341.682363418</v>
      </c>
      <c r="D48" s="34" t="n">
        <v>1514766.1595816</v>
      </c>
      <c r="E48" s="35" t="n">
        <f aca="false">C48+D48</f>
        <v>1619107.84194502</v>
      </c>
    </row>
    <row r="49" customFormat="false" ht="15" hidden="false" customHeight="false" outlineLevel="0" collapsed="false">
      <c r="B49" s="33" t="n">
        <v>47514</v>
      </c>
      <c r="C49" s="34" t="n">
        <v>102226.676289018</v>
      </c>
      <c r="D49" s="34" t="n">
        <v>1482406.01889004</v>
      </c>
      <c r="E49" s="35" t="n">
        <f aca="false">C49+D49</f>
        <v>1584632.69517906</v>
      </c>
    </row>
    <row r="50" customFormat="false" ht="15" hidden="false" customHeight="false" outlineLevel="0" collapsed="false">
      <c r="B50" s="33" t="n">
        <v>47542</v>
      </c>
      <c r="C50" s="34" t="n">
        <v>8342345.2506661</v>
      </c>
      <c r="D50" s="34" t="n">
        <v>1484425.68633152</v>
      </c>
      <c r="E50" s="35" t="n">
        <f aca="false">C50+D50</f>
        <v>9826770.93699762</v>
      </c>
    </row>
    <row r="51" customFormat="false" ht="15" hidden="false" customHeight="false" outlineLevel="0" collapsed="false">
      <c r="B51" s="33" t="n">
        <v>47573</v>
      </c>
      <c r="C51" s="34" t="n">
        <v>21429804.6359135</v>
      </c>
      <c r="D51" s="34" t="n">
        <v>1454581.75259678</v>
      </c>
      <c r="E51" s="35" t="n">
        <f aca="false">C51+D51</f>
        <v>22884386.3885103</v>
      </c>
    </row>
    <row r="52" customFormat="false" ht="15" hidden="false" customHeight="false" outlineLevel="0" collapsed="false">
      <c r="B52" s="33" t="n">
        <v>47603</v>
      </c>
      <c r="C52" s="34" t="n">
        <v>109363.106782164</v>
      </c>
      <c r="D52" s="34" t="n">
        <v>1389858.45405303</v>
      </c>
      <c r="E52" s="35" t="n">
        <f aca="false">C52+D52</f>
        <v>1499221.5608352</v>
      </c>
    </row>
    <row r="53" customFormat="false" ht="15" hidden="false" customHeight="false" outlineLevel="0" collapsed="false">
      <c r="B53" s="33" t="n">
        <v>47634</v>
      </c>
      <c r="C53" s="34" t="n">
        <v>106224.570894519</v>
      </c>
      <c r="D53" s="34" t="n">
        <v>1298414.76897042</v>
      </c>
      <c r="E53" s="35" t="n">
        <f aca="false">C53+D53</f>
        <v>1404639.33986494</v>
      </c>
    </row>
    <row r="54" customFormat="false" ht="15" hidden="false" customHeight="false" outlineLevel="0" collapsed="false">
      <c r="B54" s="33" t="n">
        <v>47664</v>
      </c>
      <c r="C54" s="34" t="n">
        <v>110156.128221854</v>
      </c>
      <c r="D54" s="34" t="n">
        <v>1335321.30113876</v>
      </c>
      <c r="E54" s="35" t="n">
        <f aca="false">C54+D54</f>
        <v>1445477.42936061</v>
      </c>
    </row>
    <row r="55" customFormat="false" ht="15" hidden="false" customHeight="false" outlineLevel="0" collapsed="false">
      <c r="B55" s="33" t="n">
        <v>47695</v>
      </c>
      <c r="C55" s="34" t="n">
        <v>106994.833962384</v>
      </c>
      <c r="D55" s="34" t="n">
        <v>1350801.21699915</v>
      </c>
      <c r="E55" s="35" t="n">
        <f aca="false">C55+D55</f>
        <v>1457796.05096153</v>
      </c>
    </row>
    <row r="56" customFormat="false" ht="15" hidden="false" customHeight="false" outlineLevel="0" collapsed="false">
      <c r="B56" s="33" t="n">
        <v>47726</v>
      </c>
      <c r="C56" s="34" t="n">
        <v>8650476.25841101</v>
      </c>
      <c r="D56" s="34" t="n">
        <v>1396515.22176604</v>
      </c>
      <c r="E56" s="35" t="n">
        <f aca="false">C56+D56</f>
        <v>10046991.480177</v>
      </c>
    </row>
    <row r="57" customFormat="false" ht="15" hidden="false" customHeight="false" outlineLevel="0" collapsed="false">
      <c r="B57" s="33" t="n">
        <v>47756</v>
      </c>
      <c r="C57" s="34" t="n">
        <v>31144778.052356</v>
      </c>
      <c r="D57" s="34" t="n">
        <v>2458792.12579685</v>
      </c>
      <c r="E57" s="35" t="n">
        <f aca="false">C57+D57</f>
        <v>33603570.1781528</v>
      </c>
    </row>
    <row r="58" customFormat="false" ht="15" hidden="false" customHeight="false" outlineLevel="0" collapsed="false">
      <c r="B58" s="33" t="n">
        <v>47787</v>
      </c>
      <c r="C58" s="34" t="n">
        <v>102377759.111737</v>
      </c>
      <c r="D58" s="34" t="n">
        <v>9092066.84520873</v>
      </c>
      <c r="E58" s="35" t="n">
        <f aca="false">C58+D58</f>
        <v>111469825.956946</v>
      </c>
    </row>
    <row r="59" customFormat="false" ht="15" hidden="false" customHeight="false" outlineLevel="0" collapsed="false">
      <c r="B59" s="33" t="n">
        <v>47817</v>
      </c>
      <c r="C59" s="34" t="n">
        <v>10716617.1430419</v>
      </c>
      <c r="D59" s="34" t="n">
        <v>929371.597163349</v>
      </c>
      <c r="E59" s="35" t="n">
        <f aca="false">C59+D59</f>
        <v>11645988.7402053</v>
      </c>
    </row>
    <row r="60" customFormat="false" ht="15" hidden="false" customHeight="false" outlineLevel="0" collapsed="false">
      <c r="B60" s="33" t="n">
        <v>47848</v>
      </c>
      <c r="C60" s="34" t="n">
        <v>8897465.05329228</v>
      </c>
      <c r="D60" s="34" t="n">
        <v>802582.858513808</v>
      </c>
      <c r="E60" s="35" t="n">
        <f aca="false">C60+D60</f>
        <v>9700047.91180609</v>
      </c>
    </row>
    <row r="61" customFormat="false" ht="15" hidden="false" customHeight="false" outlineLevel="0" collapsed="false">
      <c r="B61" s="33" t="n">
        <v>47879</v>
      </c>
      <c r="C61" s="34" t="n">
        <v>50545.546310687</v>
      </c>
      <c r="D61" s="34" t="n">
        <v>699248.241910964</v>
      </c>
      <c r="E61" s="35" t="n">
        <f aca="false">C61+D61</f>
        <v>749793.788221651</v>
      </c>
    </row>
    <row r="62" customFormat="false" ht="15" hidden="false" customHeight="false" outlineLevel="0" collapsed="false">
      <c r="B62" s="33" t="n">
        <v>47907</v>
      </c>
      <c r="C62" s="34" t="n">
        <v>28489940.4209091</v>
      </c>
      <c r="D62" s="34" t="n">
        <v>1777906.38188056</v>
      </c>
      <c r="E62" s="35" t="n">
        <f aca="false">C62+D62</f>
        <v>30267846.8027897</v>
      </c>
    </row>
    <row r="63" customFormat="false" ht="15" hidden="false" customHeight="false" outlineLevel="0" collapsed="false">
      <c r="B63" s="33" t="n">
        <v>47938</v>
      </c>
      <c r="C63" s="34" t="n">
        <v>44863835.4195713</v>
      </c>
      <c r="D63" s="34" t="n">
        <v>3565427.18737313</v>
      </c>
      <c r="E63" s="35" t="n">
        <f aca="false">C63+D63</f>
        <v>48429262.6069445</v>
      </c>
    </row>
    <row r="64" customFormat="false" ht="15" hidden="false" customHeight="false" outlineLevel="0" collapsed="false">
      <c r="B64" s="33" t="n">
        <v>47968</v>
      </c>
      <c r="C64" s="34" t="n">
        <v>0</v>
      </c>
      <c r="D64" s="34" t="n">
        <v>551085.294883568</v>
      </c>
      <c r="E64" s="35" t="n">
        <f aca="false">C64+D64</f>
        <v>551085.294883568</v>
      </c>
    </row>
    <row r="65" customFormat="false" ht="15" hidden="false" customHeight="false" outlineLevel="0" collapsed="false">
      <c r="B65" s="33" t="n">
        <v>47999</v>
      </c>
      <c r="C65" s="34" t="n">
        <v>32541068.2251015</v>
      </c>
      <c r="D65" s="34" t="n">
        <v>519746.510751335</v>
      </c>
      <c r="E65" s="35" t="n">
        <f aca="false">C65+D65</f>
        <v>33060814.7358529</v>
      </c>
    </row>
    <row r="66" customFormat="false" ht="15" hidden="false" customHeight="false" outlineLevel="0" collapsed="false">
      <c r="B66" s="33" t="n">
        <v>48029</v>
      </c>
      <c r="C66" s="34" t="n">
        <v>15193931.7748985</v>
      </c>
      <c r="D66" s="34" t="n">
        <v>540113.477566341</v>
      </c>
      <c r="E66" s="35" t="n">
        <f aca="false">C66+D66</f>
        <v>15734045.2524648</v>
      </c>
    </row>
    <row r="67" customFormat="false" ht="15" hidden="false" customHeight="false" outlineLevel="0" collapsed="false">
      <c r="B67" s="33" t="n">
        <v>48060</v>
      </c>
      <c r="C67" s="34" t="n">
        <v>12084377.7151578</v>
      </c>
      <c r="D67" s="34" t="n">
        <v>331923.103338996</v>
      </c>
      <c r="E67" s="35" t="n">
        <f aca="false">C67+D67</f>
        <v>12416300.8184968</v>
      </c>
    </row>
    <row r="68" customFormat="false" ht="15" hidden="false" customHeight="false" outlineLevel="0" collapsed="false">
      <c r="B68" s="33" t="n">
        <v>48091</v>
      </c>
      <c r="C68" s="34" t="n">
        <v>0</v>
      </c>
      <c r="D68" s="34" t="n">
        <v>273808.483116883</v>
      </c>
      <c r="E68" s="35" t="n">
        <f aca="false">C68+D68</f>
        <v>273808.483116883</v>
      </c>
    </row>
    <row r="69" customFormat="false" ht="15" hidden="false" customHeight="false" outlineLevel="0" collapsed="false">
      <c r="B69" s="33" t="n">
        <v>48121</v>
      </c>
      <c r="C69" s="34" t="n">
        <v>0</v>
      </c>
      <c r="D69" s="34" t="n">
        <v>273808.483116883</v>
      </c>
      <c r="E69" s="35" t="n">
        <f aca="false">C69+D69</f>
        <v>273808.483116883</v>
      </c>
    </row>
    <row r="70" customFormat="false" ht="15" hidden="false" customHeight="false" outlineLevel="0" collapsed="false">
      <c r="B70" s="33" t="n">
        <v>48152</v>
      </c>
      <c r="C70" s="34" t="n">
        <v>0</v>
      </c>
      <c r="D70" s="34" t="n">
        <v>264975.951403434</v>
      </c>
      <c r="E70" s="35" t="n">
        <f aca="false">C70+D70</f>
        <v>264975.951403434</v>
      </c>
    </row>
    <row r="71" customFormat="false" ht="15" hidden="false" customHeight="false" outlineLevel="0" collapsed="false">
      <c r="B71" s="33" t="n">
        <v>48182</v>
      </c>
      <c r="C71" s="34" t="n">
        <v>19892299.9815868</v>
      </c>
      <c r="D71" s="34" t="n">
        <v>273808.483116886</v>
      </c>
      <c r="E71" s="35" t="n">
        <f aca="false">C71+D71</f>
        <v>20166108.4647037</v>
      </c>
    </row>
    <row r="72" customFormat="false" ht="15" hidden="false" customHeight="false" outlineLevel="0" collapsed="false">
      <c r="B72" s="33" t="n">
        <v>48213</v>
      </c>
      <c r="C72" s="34" t="n">
        <v>0</v>
      </c>
      <c r="D72" s="34" t="n">
        <v>145594.432682809</v>
      </c>
      <c r="E72" s="35" t="n">
        <f aca="false">C72+D72</f>
        <v>145594.432682809</v>
      </c>
    </row>
    <row r="73" customFormat="false" ht="15" hidden="false" customHeight="false" outlineLevel="0" collapsed="false">
      <c r="B73" s="33" t="n">
        <v>48244</v>
      </c>
      <c r="C73" s="34" t="n">
        <v>5575450.31925689</v>
      </c>
      <c r="D73" s="34" t="n">
        <v>1835193.13210772</v>
      </c>
      <c r="E73" s="35" t="n">
        <f aca="false">C73+D73</f>
        <v>7410643.4513646</v>
      </c>
    </row>
    <row r="74" customFormat="false" ht="15" hidden="false" customHeight="false" outlineLevel="0" collapsed="false">
      <c r="B74" s="33" t="n">
        <v>48273</v>
      </c>
      <c r="C74" s="34" t="n">
        <v>34199845.6162723</v>
      </c>
      <c r="D74" s="34" t="n">
        <v>144667.337057809</v>
      </c>
      <c r="E74" s="35" t="n">
        <f aca="false">C74+D74</f>
        <v>34344512.9533301</v>
      </c>
    </row>
    <row r="75" customFormat="false" ht="15" hidden="false" customHeight="false" outlineLevel="0" collapsed="false">
      <c r="B75" s="33" t="n">
        <v>48304</v>
      </c>
      <c r="C75" s="34" t="n">
        <v>0</v>
      </c>
      <c r="D75" s="34" t="n">
        <v>146521.528307809</v>
      </c>
      <c r="E75" s="35" t="n">
        <f aca="false">C75+D75</f>
        <v>146521.528307809</v>
      </c>
    </row>
    <row r="76" customFormat="false" ht="15" hidden="false" customHeight="false" outlineLevel="0" collapsed="false">
      <c r="B76" s="33" t="n">
        <v>48334</v>
      </c>
      <c r="C76" s="34" t="n">
        <v>0</v>
      </c>
      <c r="D76" s="34" t="n">
        <v>150447.580438902</v>
      </c>
      <c r="E76" s="35" t="n">
        <f aca="false">C76+D76</f>
        <v>150447.580438902</v>
      </c>
    </row>
    <row r="77" customFormat="false" ht="15" hidden="false" customHeight="false" outlineLevel="0" collapsed="false">
      <c r="B77" s="33" t="n">
        <v>48365</v>
      </c>
      <c r="C77" s="34" t="n">
        <v>34854676.8699915</v>
      </c>
      <c r="D77" s="34" t="n">
        <v>265727.123066459</v>
      </c>
      <c r="E77" s="35" t="n">
        <f aca="false">C77+D77</f>
        <v>35120403.9930579</v>
      </c>
    </row>
  </sheetData>
  <mergeCells count="1"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7" min="6" style="0" width="22"/>
  </cols>
  <sheetData>
    <row r="2" customFormat="false" ht="17.35" hidden="false" customHeight="false" outlineLevel="0" collapsed="false">
      <c r="B2" s="1" t="s">
        <v>48</v>
      </c>
    </row>
    <row r="3" customFormat="false" ht="3" hidden="false" customHeight="true" outlineLevel="0" collapsed="false">
      <c r="B3" s="2"/>
      <c r="C3" s="2"/>
      <c r="D3" s="2"/>
      <c r="E3" s="2"/>
      <c r="F3" s="2"/>
      <c r="G3" s="2"/>
    </row>
    <row r="4" customFormat="false" ht="36" hidden="false" customHeight="true" outlineLevel="0" collapsed="false">
      <c r="B4" s="23" t="s">
        <v>49</v>
      </c>
      <c r="C4" s="23"/>
      <c r="D4" s="23"/>
      <c r="E4" s="23"/>
      <c r="F4" s="23"/>
      <c r="G4" s="23"/>
    </row>
    <row r="5" customFormat="false" ht="31.5" hidden="false" customHeight="true" outlineLevel="0" collapsed="false">
      <c r="B5" s="3" t="s">
        <v>1</v>
      </c>
      <c r="C5" s="3" t="s">
        <v>50</v>
      </c>
      <c r="E5" s="3" t="s">
        <v>1</v>
      </c>
      <c r="F5" s="3" t="s">
        <v>51</v>
      </c>
      <c r="G5" s="3" t="s">
        <v>52</v>
      </c>
    </row>
    <row r="6" customFormat="false" ht="15" hidden="false" customHeight="false" outlineLevel="0" collapsed="false">
      <c r="B6" s="33" t="n">
        <v>46234</v>
      </c>
      <c r="C6" s="34" t="n">
        <v>5801235.03</v>
      </c>
      <c r="E6" s="33" t="n">
        <v>46388</v>
      </c>
      <c r="F6" s="34" t="n">
        <v>-156343225.291504</v>
      </c>
      <c r="G6" s="34" t="n">
        <v>0</v>
      </c>
    </row>
    <row r="7" customFormat="false" ht="15" hidden="false" customHeight="false" outlineLevel="0" collapsed="false">
      <c r="B7" s="33" t="n">
        <v>46265</v>
      </c>
      <c r="C7" s="34" t="n">
        <v>6016712.81</v>
      </c>
      <c r="E7" s="33" t="n">
        <v>46418</v>
      </c>
      <c r="F7" s="34" t="n">
        <v>0</v>
      </c>
      <c r="G7" s="34" t="n">
        <v>-1959220.22848301</v>
      </c>
    </row>
    <row r="8" customFormat="false" ht="15" hidden="false" customHeight="false" outlineLevel="0" collapsed="false">
      <c r="B8" s="33" t="n">
        <v>46295</v>
      </c>
      <c r="C8" s="34" t="n">
        <v>6157489.39</v>
      </c>
      <c r="E8" s="33" t="n">
        <v>46446</v>
      </c>
      <c r="F8" s="34" t="n">
        <v>0</v>
      </c>
      <c r="G8" s="34" t="n">
        <v>-1959533.83604855</v>
      </c>
    </row>
    <row r="9" customFormat="false" ht="15" hidden="false" customHeight="false" outlineLevel="0" collapsed="false">
      <c r="B9" s="33" t="n">
        <v>46326</v>
      </c>
      <c r="C9" s="34" t="n">
        <v>5574857.08614344</v>
      </c>
      <c r="E9" s="33" t="n">
        <v>46477</v>
      </c>
      <c r="F9" s="34" t="n">
        <v>6162754.22761363</v>
      </c>
      <c r="G9" s="34" t="n">
        <v>4273664.45663836</v>
      </c>
    </row>
    <row r="10" customFormat="false" ht="15" hidden="false" customHeight="false" outlineLevel="0" collapsed="false">
      <c r="B10" s="33" t="n">
        <v>46356</v>
      </c>
      <c r="C10" s="34" t="n">
        <v>5760531.96778447</v>
      </c>
      <c r="E10" s="33" t="n">
        <v>46507</v>
      </c>
      <c r="F10" s="34" t="n">
        <v>0</v>
      </c>
      <c r="G10" s="34" t="n">
        <v>-1887977.72418845</v>
      </c>
    </row>
    <row r="11" customFormat="false" ht="15" hidden="false" customHeight="false" outlineLevel="0" collapsed="false">
      <c r="B11" s="33" t="n">
        <v>46387</v>
      </c>
      <c r="C11" s="34" t="n">
        <v>5574473.7554972</v>
      </c>
      <c r="E11" s="33" t="n">
        <v>46538</v>
      </c>
      <c r="F11" s="34" t="n">
        <v>0</v>
      </c>
      <c r="G11" s="34" t="n">
        <v>-1826362.43282831</v>
      </c>
    </row>
    <row r="12" customFormat="false" ht="15" hidden="false" customHeight="false" outlineLevel="0" collapsed="false">
      <c r="B12" s="33" t="n">
        <v>46418</v>
      </c>
      <c r="C12" s="34" t="n">
        <v>5534797.16855679</v>
      </c>
      <c r="E12" s="33" t="n">
        <v>46568</v>
      </c>
      <c r="F12" s="34" t="n">
        <v>5556569.74546356</v>
      </c>
      <c r="G12" s="34" t="n">
        <v>3721419.80300492</v>
      </c>
    </row>
    <row r="13" customFormat="false" ht="15" hidden="false" customHeight="false" outlineLevel="0" collapsed="false">
      <c r="B13" s="33" t="n">
        <v>46446</v>
      </c>
      <c r="C13" s="34" t="n">
        <v>5535683.10993312</v>
      </c>
      <c r="E13" s="33" t="n">
        <v>46599</v>
      </c>
      <c r="F13" s="34" t="n">
        <v>0</v>
      </c>
      <c r="G13" s="34" t="n">
        <v>-1789431.12300512</v>
      </c>
    </row>
    <row r="14" customFormat="false" ht="15" hidden="false" customHeight="false" outlineLevel="0" collapsed="false">
      <c r="B14" s="33" t="n">
        <v>46477</v>
      </c>
      <c r="C14" s="34" t="n">
        <v>5336678.62527082</v>
      </c>
      <c r="E14" s="33" t="n">
        <v>46630</v>
      </c>
      <c r="F14" s="34" t="n">
        <v>0</v>
      </c>
      <c r="G14" s="34" t="n">
        <v>-1819182.65818246</v>
      </c>
    </row>
    <row r="15" customFormat="false" ht="15" hidden="false" customHeight="false" outlineLevel="0" collapsed="false">
      <c r="B15" s="33" t="n">
        <v>46507</v>
      </c>
      <c r="C15" s="34" t="n">
        <v>5333537.09308497</v>
      </c>
      <c r="E15" s="33" t="n">
        <v>46660</v>
      </c>
      <c r="F15" s="34" t="n">
        <v>5389272.49662616</v>
      </c>
      <c r="G15" s="34" t="n">
        <v>3608613.78118759</v>
      </c>
    </row>
    <row r="16" customFormat="false" ht="15" hidden="false" customHeight="false" outlineLevel="0" collapsed="false">
      <c r="B16" s="33" t="n">
        <v>46538</v>
      </c>
      <c r="C16" s="34" t="n">
        <v>5159473.89426633</v>
      </c>
      <c r="E16" s="33" t="n">
        <v>46691</v>
      </c>
      <c r="F16" s="34" t="n">
        <v>0</v>
      </c>
      <c r="G16" s="34" t="n">
        <v>-1604074.33819673</v>
      </c>
    </row>
    <row r="17" customFormat="false" ht="15" hidden="false" customHeight="false" outlineLevel="0" collapsed="false">
      <c r="B17" s="33" t="n">
        <v>46568</v>
      </c>
      <c r="C17" s="34" t="n">
        <v>5184298.60907558</v>
      </c>
      <c r="E17" s="33" t="n">
        <v>46721</v>
      </c>
      <c r="F17" s="34" t="n">
        <v>0</v>
      </c>
      <c r="G17" s="34" t="n">
        <v>-1611126.25542757</v>
      </c>
    </row>
    <row r="18" customFormat="false" ht="15" hidden="false" customHeight="false" outlineLevel="0" collapsed="false">
      <c r="B18" s="33" t="n">
        <v>46599</v>
      </c>
      <c r="C18" s="34" t="n">
        <v>5055142.94358055</v>
      </c>
      <c r="E18" s="33" t="n">
        <v>46752</v>
      </c>
      <c r="F18" s="34" t="n">
        <v>4932309.61312711</v>
      </c>
      <c r="G18" s="34" t="n">
        <v>3378032.45135202</v>
      </c>
    </row>
    <row r="19" customFormat="false" ht="15" hidden="false" customHeight="false" outlineLevel="0" collapsed="false">
      <c r="B19" s="33" t="n">
        <v>46630</v>
      </c>
      <c r="C19" s="34" t="n">
        <v>5139191.03080719</v>
      </c>
      <c r="E19" s="33" t="n">
        <v>46783</v>
      </c>
      <c r="F19" s="34" t="n">
        <v>0</v>
      </c>
      <c r="G19" s="34" t="n">
        <v>-1602335.92979897</v>
      </c>
    </row>
    <row r="20" customFormat="false" ht="15" hidden="false" customHeight="false" outlineLevel="0" collapsed="false">
      <c r="B20" s="33" t="n">
        <v>46660</v>
      </c>
      <c r="C20" s="34" t="n">
        <v>5030360.89210166</v>
      </c>
      <c r="E20" s="33" t="n">
        <v>46812</v>
      </c>
      <c r="F20" s="34" t="n">
        <v>0</v>
      </c>
      <c r="G20" s="34" t="n">
        <v>-1434535.79690633</v>
      </c>
    </row>
    <row r="21" customFormat="false" ht="15" hidden="false" customHeight="false" outlineLevel="0" collapsed="false">
      <c r="B21" s="33" t="n">
        <v>46691</v>
      </c>
      <c r="C21" s="34" t="n">
        <v>4531510.02431214</v>
      </c>
      <c r="E21" s="33" t="n">
        <v>46843</v>
      </c>
      <c r="F21" s="34" t="n">
        <v>4708894.29621651</v>
      </c>
      <c r="G21" s="34" t="n">
        <v>3252800.92934422</v>
      </c>
    </row>
    <row r="22" customFormat="false" ht="15" hidden="false" customHeight="false" outlineLevel="0" collapsed="false">
      <c r="B22" s="33" t="n">
        <v>46721</v>
      </c>
      <c r="C22" s="34" t="n">
        <v>4551431.69057238</v>
      </c>
      <c r="E22" s="33" t="n">
        <v>46873</v>
      </c>
      <c r="F22" s="34" t="n">
        <v>0</v>
      </c>
      <c r="G22" s="34" t="n">
        <v>-1438800.64071744</v>
      </c>
    </row>
    <row r="23" customFormat="false" ht="15" hidden="false" customHeight="false" outlineLevel="0" collapsed="false">
      <c r="B23" s="33" t="n">
        <v>46752</v>
      </c>
      <c r="C23" s="34" t="n">
        <v>4390833.00033407</v>
      </c>
      <c r="E23" s="33" t="n">
        <v>46904</v>
      </c>
      <c r="F23" s="34" t="n">
        <v>0</v>
      </c>
      <c r="G23" s="34" t="n">
        <v>-1371405.92812125</v>
      </c>
    </row>
    <row r="24" customFormat="false" ht="15" hidden="false" customHeight="false" outlineLevel="0" collapsed="false">
      <c r="B24" s="33" t="n">
        <v>46783</v>
      </c>
      <c r="C24" s="34" t="n">
        <v>4526599.02056796</v>
      </c>
      <c r="E24" s="33" t="n">
        <v>46934</v>
      </c>
      <c r="F24" s="34" t="n">
        <v>4419021.78081149</v>
      </c>
      <c r="G24" s="34" t="n">
        <v>3001357.01051904</v>
      </c>
    </row>
    <row r="25" customFormat="false" ht="15" hidden="false" customHeight="false" outlineLevel="0" collapsed="false">
      <c r="B25" s="33" t="n">
        <v>46812</v>
      </c>
      <c r="C25" s="34" t="n">
        <v>4052563.6431685</v>
      </c>
      <c r="E25" s="33" t="n">
        <v>46965</v>
      </c>
      <c r="F25" s="34" t="n">
        <v>0</v>
      </c>
      <c r="G25" s="34" t="n">
        <v>-1371053.69829988</v>
      </c>
    </row>
    <row r="26" customFormat="false" ht="15" hidden="false" customHeight="false" outlineLevel="0" collapsed="false">
      <c r="B26" s="33" t="n">
        <v>46843</v>
      </c>
      <c r="C26" s="34" t="n">
        <v>4113463.77857641</v>
      </c>
      <c r="E26" s="33" t="n">
        <v>46996</v>
      </c>
      <c r="F26" s="34" t="n">
        <v>0</v>
      </c>
      <c r="G26" s="34" t="n">
        <v>-1376932.49750965</v>
      </c>
    </row>
    <row r="27" customFormat="false" ht="15" hidden="false" customHeight="false" outlineLevel="0" collapsed="false">
      <c r="B27" s="33" t="n">
        <v>46873</v>
      </c>
      <c r="C27" s="34" t="n">
        <v>4064611.82698513</v>
      </c>
      <c r="E27" s="33" t="n">
        <v>47026</v>
      </c>
      <c r="F27" s="34" t="n">
        <v>4763460.112649</v>
      </c>
      <c r="G27" s="34" t="n">
        <v>3434711.85666119</v>
      </c>
    </row>
    <row r="28" customFormat="false" ht="15" hidden="false" customHeight="false" outlineLevel="0" collapsed="false">
      <c r="B28" s="33" t="n">
        <v>46904</v>
      </c>
      <c r="C28" s="34" t="n">
        <v>3874221.76310655</v>
      </c>
      <c r="E28" s="33" t="n">
        <v>47057</v>
      </c>
      <c r="F28" s="34" t="n">
        <v>0</v>
      </c>
      <c r="G28" s="34" t="n">
        <v>-999998.677475295</v>
      </c>
    </row>
    <row r="29" customFormat="false" ht="15" hidden="false" customHeight="false" outlineLevel="0" collapsed="false">
      <c r="B29" s="33" t="n">
        <v>46934</v>
      </c>
      <c r="C29" s="34" t="n">
        <v>4004902.99278541</v>
      </c>
      <c r="E29" s="33" t="n">
        <v>47087</v>
      </c>
      <c r="F29" s="34" t="n">
        <v>0</v>
      </c>
      <c r="G29" s="34" t="n">
        <v>-996170.424238246</v>
      </c>
    </row>
    <row r="30" customFormat="false" ht="15" hidden="false" customHeight="false" outlineLevel="0" collapsed="false">
      <c r="B30" s="33" t="n">
        <v>46965</v>
      </c>
      <c r="C30" s="34" t="n">
        <v>3873226.71385705</v>
      </c>
      <c r="E30" s="33" t="n">
        <v>47118</v>
      </c>
      <c r="F30" s="34" t="n">
        <v>3178627.14090412</v>
      </c>
      <c r="G30" s="34" t="n">
        <v>2243956.71129919</v>
      </c>
    </row>
    <row r="31" customFormat="false" ht="15" hidden="false" customHeight="false" outlineLevel="0" collapsed="false">
      <c r="B31" s="33" t="n">
        <v>46996</v>
      </c>
      <c r="C31" s="34" t="n">
        <v>3889834.32169393</v>
      </c>
      <c r="E31" s="33" t="n">
        <v>47149</v>
      </c>
      <c r="F31" s="34" t="n">
        <v>0</v>
      </c>
      <c r="G31" s="34" t="n">
        <v>-861684.276506143</v>
      </c>
    </row>
    <row r="32" customFormat="false" ht="15" hidden="false" customHeight="false" outlineLevel="0" collapsed="false">
      <c r="B32" s="33" t="n">
        <v>47026</v>
      </c>
      <c r="C32" s="34" t="n">
        <v>3753713.83882682</v>
      </c>
      <c r="E32" s="33" t="n">
        <v>47177</v>
      </c>
      <c r="F32" s="34" t="n">
        <v>0</v>
      </c>
      <c r="G32" s="34" t="n">
        <v>-844006.137750823</v>
      </c>
    </row>
    <row r="33" customFormat="false" ht="15" hidden="false" customHeight="false" outlineLevel="0" collapsed="false">
      <c r="B33" s="33" t="n">
        <v>47057</v>
      </c>
      <c r="C33" s="34" t="n">
        <v>2824996.27565416</v>
      </c>
      <c r="E33" s="33" t="n">
        <v>47208</v>
      </c>
      <c r="F33" s="34" t="n">
        <v>2758894.88736978</v>
      </c>
      <c r="G33" s="34" t="n">
        <v>1872062.09497876</v>
      </c>
    </row>
    <row r="34" customFormat="false" ht="15" hidden="false" customHeight="false" outlineLevel="0" collapsed="false">
      <c r="B34" s="33" t="n">
        <v>47087</v>
      </c>
      <c r="C34" s="34" t="n">
        <v>2814181.46021437</v>
      </c>
      <c r="E34" s="33" t="n">
        <v>47238</v>
      </c>
      <c r="F34" s="34" t="n">
        <v>0</v>
      </c>
      <c r="G34" s="34" t="n">
        <v>-827250.047757792</v>
      </c>
    </row>
    <row r="35" customFormat="false" ht="15" hidden="false" customHeight="false" outlineLevel="0" collapsed="false">
      <c r="B35" s="33" t="n">
        <v>47118</v>
      </c>
      <c r="C35" s="34" t="n">
        <v>2640443.9746504</v>
      </c>
      <c r="E35" s="33" t="n">
        <v>47269</v>
      </c>
      <c r="F35" s="34" t="n">
        <v>0</v>
      </c>
      <c r="G35" s="34" t="n">
        <v>-764135.47038043</v>
      </c>
    </row>
    <row r="36" customFormat="false" ht="15" hidden="false" customHeight="false" outlineLevel="0" collapsed="false">
      <c r="B36" s="33" t="n">
        <v>47149</v>
      </c>
      <c r="C36" s="34" t="n">
        <v>2434258.09128607</v>
      </c>
      <c r="E36" s="33" t="n">
        <v>47299</v>
      </c>
      <c r="F36" s="34" t="n">
        <v>25031716.3631376</v>
      </c>
      <c r="G36" s="34" t="n">
        <v>1998465.1624575</v>
      </c>
    </row>
    <row r="37" customFormat="false" ht="15" hidden="false" customHeight="false" outlineLevel="0" collapsed="false">
      <c r="B37" s="33" t="n">
        <v>47177</v>
      </c>
      <c r="C37" s="34" t="n">
        <v>2384317.34909392</v>
      </c>
      <c r="E37" s="33" t="n">
        <v>47330</v>
      </c>
      <c r="F37" s="34" t="n">
        <v>0</v>
      </c>
      <c r="G37" s="34" t="n">
        <v>-9738700.45458471</v>
      </c>
    </row>
    <row r="38" customFormat="false" ht="15" hidden="false" customHeight="false" outlineLevel="0" collapsed="false">
      <c r="B38" s="33" t="n">
        <v>47208</v>
      </c>
      <c r="C38" s="34" t="n">
        <v>2505302.64895725</v>
      </c>
      <c r="E38" s="33" t="n">
        <v>47361</v>
      </c>
      <c r="F38" s="34" t="n">
        <v>0</v>
      </c>
      <c r="G38" s="34" t="n">
        <v>-8785730.10914205</v>
      </c>
    </row>
    <row r="39" customFormat="false" ht="15" hidden="false" customHeight="false" outlineLevel="0" collapsed="false">
      <c r="B39" s="33" t="n">
        <v>47238</v>
      </c>
      <c r="C39" s="34" t="n">
        <v>2336981.39466612</v>
      </c>
      <c r="E39" s="33" t="n">
        <v>47391</v>
      </c>
      <c r="F39" s="34" t="n">
        <v>19456934.2703678</v>
      </c>
      <c r="G39" s="34" t="n">
        <v>18807616.4032532</v>
      </c>
    </row>
    <row r="40" customFormat="false" ht="15" hidden="false" customHeight="false" outlineLevel="0" collapsed="false">
      <c r="B40" s="33" t="n">
        <v>47269</v>
      </c>
      <c r="C40" s="34" t="n">
        <v>2158682.71283117</v>
      </c>
      <c r="E40" s="33" t="n">
        <v>47422</v>
      </c>
      <c r="F40" s="34" t="n">
        <v>0</v>
      </c>
      <c r="G40" s="34" t="n">
        <v>-3897851.36329276</v>
      </c>
    </row>
    <row r="41" customFormat="false" ht="15" hidden="false" customHeight="false" outlineLevel="0" collapsed="false">
      <c r="B41" s="33" t="n">
        <v>47299</v>
      </c>
      <c r="C41" s="34" t="n">
        <v>65068934.9134019</v>
      </c>
      <c r="E41" s="33" t="n">
        <v>47452</v>
      </c>
      <c r="F41" s="34" t="n">
        <v>0</v>
      </c>
      <c r="G41" s="34" t="n">
        <v>-11427215.2612024</v>
      </c>
    </row>
    <row r="42" customFormat="false" ht="15" hidden="false" customHeight="false" outlineLevel="0" collapsed="false">
      <c r="B42" s="33" t="n">
        <v>47330</v>
      </c>
      <c r="C42" s="34" t="n">
        <v>27511828.8989867</v>
      </c>
      <c r="E42" s="33" t="n">
        <v>47483</v>
      </c>
      <c r="F42" s="34" t="n">
        <v>16276963.2017432</v>
      </c>
      <c r="G42" s="34" t="n">
        <v>15703827.6848618</v>
      </c>
    </row>
    <row r="43" customFormat="false" ht="15" hidden="false" customHeight="false" outlineLevel="0" collapsed="false">
      <c r="B43" s="33" t="n">
        <v>47361</v>
      </c>
      <c r="C43" s="34" t="n">
        <v>24819687.661879</v>
      </c>
      <c r="E43" s="33" t="n">
        <v>47514</v>
      </c>
      <c r="F43" s="34" t="n">
        <v>0</v>
      </c>
      <c r="G43" s="34" t="n">
        <v>-560931.925156692</v>
      </c>
    </row>
    <row r="44" customFormat="false" ht="15" hidden="false" customHeight="false" outlineLevel="0" collapsed="false">
      <c r="B44" s="33" t="n">
        <v>47391</v>
      </c>
      <c r="C44" s="34" t="n">
        <v>1834322.98225193</v>
      </c>
      <c r="E44" s="33" t="n">
        <v>47542</v>
      </c>
      <c r="F44" s="34" t="n">
        <v>0</v>
      </c>
      <c r="G44" s="34" t="n">
        <v>-3478502.97203482</v>
      </c>
    </row>
    <row r="45" customFormat="false" ht="15" hidden="false" customHeight="false" outlineLevel="0" collapsed="false">
      <c r="B45" s="33" t="n">
        <v>47422</v>
      </c>
      <c r="C45" s="34" t="n">
        <v>11011430.1472439</v>
      </c>
      <c r="E45" s="33" t="n">
        <v>47573</v>
      </c>
      <c r="F45" s="34" t="n">
        <v>12302934.4692668</v>
      </c>
      <c r="G45" s="34" t="n">
        <v>4202266.75491922</v>
      </c>
    </row>
    <row r="46" customFormat="false" ht="15" hidden="false" customHeight="false" outlineLevel="0" collapsed="false">
      <c r="B46" s="33" t="n">
        <v>47452</v>
      </c>
      <c r="C46" s="34" t="n">
        <v>32281883.2475834</v>
      </c>
      <c r="E46" s="33" t="n">
        <v>47603</v>
      </c>
      <c r="F46" s="34" t="n">
        <v>0</v>
      </c>
      <c r="G46" s="34" t="n">
        <v>-530697.895426594</v>
      </c>
    </row>
    <row r="47" customFormat="false" ht="15" hidden="false" customHeight="false" outlineLevel="0" collapsed="false">
      <c r="B47" s="33" t="n">
        <v>47483</v>
      </c>
      <c r="C47" s="34" t="n">
        <v>1619107.84194502</v>
      </c>
      <c r="E47" s="33" t="n">
        <v>47634</v>
      </c>
      <c r="F47" s="34" t="n">
        <v>0</v>
      </c>
      <c r="G47" s="34" t="n">
        <v>-508710.058278587</v>
      </c>
    </row>
    <row r="48" customFormat="false" ht="15" hidden="false" customHeight="false" outlineLevel="0" collapsed="false">
      <c r="B48" s="33" t="n">
        <v>47514</v>
      </c>
      <c r="C48" s="34" t="n">
        <v>1584632.69517906</v>
      </c>
      <c r="E48" s="33" t="n">
        <v>47664</v>
      </c>
      <c r="F48" s="34" t="n">
        <v>1591275.64325666</v>
      </c>
      <c r="G48" s="34" t="n">
        <v>1067726.53765783</v>
      </c>
    </row>
    <row r="49" customFormat="false" ht="15" hidden="false" customHeight="false" outlineLevel="0" collapsed="false">
      <c r="B49" s="33" t="n">
        <v>47542</v>
      </c>
      <c r="C49" s="34" t="n">
        <v>9826770.93699762</v>
      </c>
      <c r="E49" s="33" t="n">
        <v>47695</v>
      </c>
      <c r="F49" s="34" t="n">
        <v>0</v>
      </c>
      <c r="G49" s="34" t="n">
        <v>-527526.59310153</v>
      </c>
    </row>
    <row r="50" customFormat="false" ht="15" hidden="false" customHeight="false" outlineLevel="0" collapsed="false">
      <c r="B50" s="33" t="n">
        <v>47573</v>
      </c>
      <c r="C50" s="34" t="n">
        <v>22884386.3885103</v>
      </c>
      <c r="E50" s="33" t="n">
        <v>47726</v>
      </c>
      <c r="F50" s="34" t="n">
        <v>0</v>
      </c>
      <c r="G50" s="34" t="n">
        <v>-3568332.82769767</v>
      </c>
    </row>
    <row r="51" customFormat="false" ht="15" hidden="false" customHeight="false" outlineLevel="0" collapsed="false">
      <c r="B51" s="33" t="n">
        <v>47603</v>
      </c>
      <c r="C51" s="34" t="n">
        <v>1499221.56083518</v>
      </c>
      <c r="E51" s="33" t="n">
        <v>47756</v>
      </c>
      <c r="F51" s="34" t="n">
        <v>16254171.3939972</v>
      </c>
      <c r="G51" s="34" t="n">
        <v>4347186.85337893</v>
      </c>
    </row>
    <row r="52" customFormat="false" ht="15" hidden="false" customHeight="false" outlineLevel="0" collapsed="false">
      <c r="B52" s="33" t="n">
        <v>47634</v>
      </c>
      <c r="C52" s="34" t="n">
        <v>1437105.9206329</v>
      </c>
      <c r="E52" s="33" t="n">
        <v>47787</v>
      </c>
      <c r="F52" s="34" t="n">
        <v>0</v>
      </c>
      <c r="G52" s="34" t="n">
        <v>-39469876.4365041</v>
      </c>
    </row>
    <row r="53" customFormat="false" ht="15" hidden="false" customHeight="false" outlineLevel="0" collapsed="false">
      <c r="B53" s="33" t="n">
        <v>47664</v>
      </c>
      <c r="C53" s="34" t="n">
        <v>1479026.22948751</v>
      </c>
      <c r="E53" s="33" t="n">
        <v>47817</v>
      </c>
      <c r="F53" s="34" t="n">
        <v>0</v>
      </c>
      <c r="G53" s="34" t="n">
        <v>-4134448.49659515</v>
      </c>
    </row>
    <row r="54" customFormat="false" ht="15" hidden="false" customHeight="false" outlineLevel="0" collapsed="false">
      <c r="B54" s="33" t="n">
        <v>47695</v>
      </c>
      <c r="C54" s="34" t="n">
        <v>1490262.6317295</v>
      </c>
      <c r="E54" s="33" t="n">
        <v>47848</v>
      </c>
      <c r="F54" s="34" t="n">
        <v>47803577.235361</v>
      </c>
      <c r="G54" s="34" t="n">
        <v>44358307.2308385</v>
      </c>
    </row>
    <row r="55" customFormat="false" ht="15" hidden="false" customHeight="false" outlineLevel="0" collapsed="false">
      <c r="B55" s="33" t="n">
        <v>47726</v>
      </c>
      <c r="C55" s="34" t="n">
        <v>10080540.2803039</v>
      </c>
      <c r="E55" s="33" t="n">
        <v>47879</v>
      </c>
      <c r="F55" s="34" t="n">
        <v>0</v>
      </c>
      <c r="G55" s="34" t="n">
        <v>-277038.469569571</v>
      </c>
    </row>
    <row r="56" customFormat="false" ht="15" hidden="false" customHeight="false" outlineLevel="0" collapsed="false">
      <c r="B56" s="33" t="n">
        <v>47756</v>
      </c>
      <c r="C56" s="34" t="n">
        <v>33637231.4675878</v>
      </c>
      <c r="E56" s="33" t="n">
        <v>47907</v>
      </c>
      <c r="F56" s="34" t="n">
        <v>0</v>
      </c>
      <c r="G56" s="34" t="n">
        <v>-10725906.7497157</v>
      </c>
    </row>
    <row r="57" customFormat="false" ht="15" hidden="false" customHeight="false" outlineLevel="0" collapsed="false">
      <c r="B57" s="33" t="n">
        <v>47787</v>
      </c>
      <c r="C57" s="34" t="n">
        <v>111502401.398334</v>
      </c>
      <c r="E57" s="33" t="n">
        <v>47938</v>
      </c>
      <c r="F57" s="34" t="n">
        <v>28575370.8091633</v>
      </c>
      <c r="G57" s="34" t="n">
        <v>11420644.3325868</v>
      </c>
    </row>
    <row r="58" customFormat="false" ht="15" hidden="false" customHeight="false" outlineLevel="0" collapsed="false">
      <c r="B58" s="33" t="n">
        <v>47817</v>
      </c>
      <c r="C58" s="34" t="n">
        <v>11679817.0516118</v>
      </c>
      <c r="E58" s="33" t="n">
        <v>47968</v>
      </c>
      <c r="F58" s="34" t="n">
        <v>0</v>
      </c>
      <c r="G58" s="34" t="n">
        <v>-207106.392304686</v>
      </c>
    </row>
    <row r="59" customFormat="false" ht="15" hidden="false" customHeight="false" outlineLevel="0" collapsed="false">
      <c r="B59" s="33" t="n">
        <v>47848</v>
      </c>
      <c r="C59" s="34" t="n">
        <v>9732887.80338378</v>
      </c>
      <c r="E59" s="33" t="n">
        <v>47999</v>
      </c>
      <c r="F59" s="34" t="n">
        <v>0</v>
      </c>
      <c r="G59" s="34" t="n">
        <v>-11714735.2990978</v>
      </c>
    </row>
    <row r="60" customFormat="false" ht="15" hidden="false" customHeight="false" outlineLevel="0" collapsed="false">
      <c r="B60" s="33" t="n">
        <v>47879</v>
      </c>
      <c r="C60" s="34" t="n">
        <v>782633.679799343</v>
      </c>
      <c r="E60" s="33" t="n">
        <v>48029</v>
      </c>
      <c r="F60" s="34" t="n">
        <v>17680635.3177208</v>
      </c>
      <c r="G60" s="34" t="n">
        <v>12098832.8411065</v>
      </c>
    </row>
    <row r="61" customFormat="false" ht="15" hidden="false" customHeight="false" outlineLevel="0" collapsed="false">
      <c r="B61" s="33" t="n">
        <v>47907</v>
      </c>
      <c r="C61" s="34" t="n">
        <v>30300686.6943674</v>
      </c>
      <c r="E61" s="33" t="n">
        <v>48060</v>
      </c>
      <c r="F61" s="34" t="n">
        <v>0</v>
      </c>
      <c r="G61" s="34" t="n">
        <v>-4406985.19047648</v>
      </c>
    </row>
    <row r="62" customFormat="false" ht="15" hidden="false" customHeight="false" outlineLevel="0" collapsed="false">
      <c r="B62" s="33" t="n">
        <v>47938</v>
      </c>
      <c r="C62" s="34" t="n">
        <v>48462102.4985222</v>
      </c>
      <c r="E62" s="33" t="n">
        <v>48091</v>
      </c>
      <c r="F62" s="34" t="n">
        <v>0</v>
      </c>
      <c r="G62" s="34" t="n">
        <v>-109152.315607262</v>
      </c>
    </row>
    <row r="63" customFormat="false" ht="15" hidden="false" customHeight="false" outlineLevel="0" collapsed="false">
      <c r="B63" s="33" t="n">
        <v>47968</v>
      </c>
      <c r="C63" s="34" t="n">
        <v>585075.560701791</v>
      </c>
      <c r="E63" s="33" t="n">
        <v>48121</v>
      </c>
      <c r="F63" s="34" t="n">
        <v>4689006.63558446</v>
      </c>
      <c r="G63" s="34" t="n">
        <v>4579854.3199772</v>
      </c>
    </row>
    <row r="64" customFormat="false" ht="15" hidden="false" customHeight="false" outlineLevel="0" collapsed="false">
      <c r="B64" s="33" t="n">
        <v>47999</v>
      </c>
      <c r="C64" s="34" t="n">
        <v>33094127.3580266</v>
      </c>
      <c r="E64" s="33" t="n">
        <v>48152</v>
      </c>
      <c r="F64" s="34" t="n">
        <v>0</v>
      </c>
      <c r="G64" s="34" t="n">
        <v>-105631.273168317</v>
      </c>
    </row>
    <row r="65" customFormat="false" ht="15" hidden="false" customHeight="false" outlineLevel="0" collapsed="false">
      <c r="B65" s="33" t="n">
        <v>48029</v>
      </c>
      <c r="C65" s="34" t="n">
        <v>15768592.062225</v>
      </c>
      <c r="E65" s="33" t="n">
        <v>48182</v>
      </c>
      <c r="F65" s="34" t="n">
        <v>0</v>
      </c>
      <c r="G65" s="34" t="n">
        <v>-9022552.39284889</v>
      </c>
    </row>
    <row r="66" customFormat="false" ht="15" hidden="false" customHeight="false" outlineLevel="0" collapsed="false">
      <c r="B66" s="33" t="n">
        <v>48060</v>
      </c>
      <c r="C66" s="34" t="n">
        <v>12449733.2150388</v>
      </c>
      <c r="E66" s="33" t="n">
        <v>48213</v>
      </c>
      <c r="F66" s="34" t="n">
        <v>9346805.34873339</v>
      </c>
      <c r="G66" s="34" t="n">
        <v>9291015.52374492</v>
      </c>
    </row>
    <row r="67" customFormat="false" ht="15" hidden="false" customHeight="false" outlineLevel="0" collapsed="false">
      <c r="B67" s="33" t="n">
        <v>48091</v>
      </c>
      <c r="C67" s="34" t="n">
        <v>308355.292877034</v>
      </c>
      <c r="E67" s="33" t="n">
        <v>48244</v>
      </c>
      <c r="F67" s="34" t="n">
        <v>0</v>
      </c>
      <c r="G67" s="34" t="n">
        <v>-2627630.31436468</v>
      </c>
    </row>
    <row r="68" customFormat="false" ht="15" hidden="false" customHeight="false" outlineLevel="0" collapsed="false">
      <c r="B68" s="33" t="n">
        <v>48121</v>
      </c>
      <c r="C68" s="34" t="n">
        <v>308355.292877034</v>
      </c>
      <c r="E68" s="33" t="n">
        <v>48273</v>
      </c>
      <c r="F68" s="34" t="n">
        <v>0</v>
      </c>
      <c r="G68" s="34" t="n">
        <v>-12161601.6401964</v>
      </c>
    </row>
    <row r="69" customFormat="false" ht="15" hidden="false" customHeight="false" outlineLevel="0" collapsed="false">
      <c r="B69" s="33" t="n">
        <v>48152</v>
      </c>
      <c r="C69" s="34" t="n">
        <v>298408.347945516</v>
      </c>
      <c r="E69" s="33" t="n">
        <v>48304</v>
      </c>
      <c r="F69" s="34" t="n">
        <v>15022341.1046947</v>
      </c>
      <c r="G69" s="34" t="n">
        <v>14966223.1042652</v>
      </c>
    </row>
    <row r="70" customFormat="false" ht="15" hidden="false" customHeight="false" outlineLevel="0" collapsed="false">
      <c r="B70" s="33" t="n">
        <v>48182</v>
      </c>
      <c r="C70" s="34" t="n">
        <v>25488710.6161421</v>
      </c>
      <c r="E70" s="33" t="n">
        <v>48334</v>
      </c>
      <c r="F70" s="34" t="n">
        <v>0</v>
      </c>
      <c r="G70" s="34" t="n">
        <v>-57649.4858214217</v>
      </c>
    </row>
    <row r="71" customFormat="false" ht="15" hidden="false" customHeight="false" outlineLevel="0" collapsed="false">
      <c r="B71" s="33" t="n">
        <v>48213</v>
      </c>
      <c r="C71" s="34" t="n">
        <v>157606.25625</v>
      </c>
      <c r="E71" s="33" t="n">
        <v>48365</v>
      </c>
      <c r="F71" s="34" t="n">
        <v>13656802.0861627</v>
      </c>
      <c r="G71" s="34" t="n">
        <v>188622.936602407</v>
      </c>
    </row>
    <row r="72" customFormat="false" ht="15" hidden="false" customHeight="false" outlineLevel="0" collapsed="false">
      <c r="B72" s="33" t="n">
        <v>48244</v>
      </c>
      <c r="C72" s="34" t="n">
        <v>7423055.6690507</v>
      </c>
      <c r="E72" s="33" t="n">
        <v>48395</v>
      </c>
      <c r="F72" s="34" t="n">
        <v>0</v>
      </c>
      <c r="G72" s="34" t="n">
        <v>0</v>
      </c>
    </row>
    <row r="73" customFormat="false" ht="15" hidden="false" customHeight="false" outlineLevel="0" collapsed="false">
      <c r="B73" s="33" t="n">
        <v>48273</v>
      </c>
      <c r="C73" s="34" t="n">
        <v>34356524.7768973</v>
      </c>
      <c r="E73" s="33" t="n">
        <v>48426</v>
      </c>
      <c r="F73" s="34" t="n">
        <v>0</v>
      </c>
      <c r="G73" s="34" t="n">
        <v>0</v>
      </c>
    </row>
    <row r="74" customFormat="false" ht="15" hidden="false" customHeight="false" outlineLevel="0" collapsed="false">
      <c r="B74" s="33" t="n">
        <v>48304</v>
      </c>
      <c r="C74" s="34" t="n">
        <v>158533.351875</v>
      </c>
      <c r="E74" s="33" t="n">
        <v>48457</v>
      </c>
      <c r="F74" s="34" t="n">
        <v>0</v>
      </c>
      <c r="G74" s="34" t="n">
        <v>0</v>
      </c>
    </row>
    <row r="75" customFormat="false" ht="15" hidden="false" customHeight="false" outlineLevel="0" collapsed="false">
      <c r="B75" s="33" t="n">
        <v>48334</v>
      </c>
      <c r="C75" s="34" t="n">
        <v>162859.798125</v>
      </c>
      <c r="E75" s="33" t="n">
        <v>48487</v>
      </c>
      <c r="F75" s="34" t="n">
        <v>0</v>
      </c>
      <c r="G75" s="34" t="n">
        <v>0</v>
      </c>
    </row>
    <row r="76" customFormat="false" ht="15" hidden="false" customHeight="false" outlineLevel="0" collapsed="false">
      <c r="B76" s="33" t="n">
        <v>48365</v>
      </c>
      <c r="C76" s="34" t="n">
        <v>38047606.25625</v>
      </c>
      <c r="E76" s="33" t="n">
        <v>48518</v>
      </c>
      <c r="F76" s="34" t="n">
        <v>0</v>
      </c>
      <c r="G76" s="34" t="n">
        <v>0</v>
      </c>
    </row>
    <row r="77" customFormat="false" ht="15" hidden="false" customHeight="false" outlineLevel="0" collapsed="false">
      <c r="B77" s="33" t="n">
        <v>48395</v>
      </c>
      <c r="C77" s="34" t="n">
        <v>0</v>
      </c>
      <c r="E77" s="33" t="n">
        <v>48548</v>
      </c>
      <c r="F77" s="34" t="n">
        <v>0</v>
      </c>
      <c r="G77" s="34" t="n">
        <v>0</v>
      </c>
    </row>
    <row r="78" customFormat="false" ht="15" hidden="false" customHeight="false" outlineLevel="0" collapsed="false">
      <c r="B78" s="33" t="n">
        <v>48426</v>
      </c>
      <c r="C78" s="34" t="n">
        <v>0</v>
      </c>
      <c r="E78" s="33" t="n">
        <v>48579</v>
      </c>
      <c r="F78" s="34" t="n">
        <v>0</v>
      </c>
      <c r="G78" s="34" t="n">
        <v>0</v>
      </c>
    </row>
    <row r="79" customFormat="false" ht="15" hidden="false" customHeight="false" outlineLevel="0" collapsed="false">
      <c r="B79" s="33" t="n">
        <v>48457</v>
      </c>
      <c r="C79" s="34" t="n">
        <v>0</v>
      </c>
      <c r="E79" s="33" t="n">
        <v>48610</v>
      </c>
      <c r="F79" s="34" t="n">
        <v>0</v>
      </c>
      <c r="G79" s="34" t="n">
        <v>0</v>
      </c>
    </row>
    <row r="80" customFormat="false" ht="15" hidden="false" customHeight="false" outlineLevel="0" collapsed="false">
      <c r="B80" s="33" t="n">
        <v>48487</v>
      </c>
      <c r="C80" s="34" t="n">
        <v>0</v>
      </c>
      <c r="E80" s="33" t="n">
        <v>48638</v>
      </c>
      <c r="F80" s="34" t="n">
        <v>0</v>
      </c>
      <c r="G80" s="34" t="n">
        <v>0</v>
      </c>
    </row>
    <row r="81" customFormat="false" ht="15" hidden="false" customHeight="false" outlineLevel="0" collapsed="false">
      <c r="B81" s="33" t="n">
        <v>48518</v>
      </c>
      <c r="C81" s="34" t="n">
        <v>0</v>
      </c>
      <c r="E81" s="33" t="n">
        <v>48669</v>
      </c>
      <c r="F81" s="34" t="n">
        <v>0</v>
      </c>
      <c r="G81" s="34" t="n">
        <v>0</v>
      </c>
    </row>
    <row r="82" customFormat="false" ht="15" hidden="false" customHeight="false" outlineLevel="0" collapsed="false">
      <c r="B82" s="33" t="n">
        <v>48548</v>
      </c>
      <c r="C82" s="34" t="n">
        <v>0</v>
      </c>
      <c r="E82" s="33" t="n">
        <v>48699</v>
      </c>
      <c r="F82" s="34" t="n">
        <v>0</v>
      </c>
      <c r="G82" s="34" t="n">
        <v>0</v>
      </c>
    </row>
    <row r="83" customFormat="false" ht="15" hidden="false" customHeight="false" outlineLevel="0" collapsed="false">
      <c r="B83" s="33" t="n">
        <v>48579</v>
      </c>
      <c r="C83" s="34" t="n">
        <v>0</v>
      </c>
      <c r="E83" s="33" t="n">
        <v>48730</v>
      </c>
      <c r="F83" s="34" t="n">
        <v>0</v>
      </c>
      <c r="G83" s="34" t="n">
        <v>0</v>
      </c>
    </row>
    <row r="84" customFormat="false" ht="15" hidden="false" customHeight="false" outlineLevel="0" collapsed="false">
      <c r="E84" s="33" t="n">
        <v>48760</v>
      </c>
      <c r="F84" s="34" t="n">
        <v>0</v>
      </c>
      <c r="G84" s="34" t="n">
        <v>0</v>
      </c>
    </row>
    <row r="85" customFormat="false" ht="15" hidden="false" customHeight="false" outlineLevel="0" collapsed="false">
      <c r="E85" s="33" t="n">
        <v>48791</v>
      </c>
      <c r="F85" s="34" t="n">
        <v>0</v>
      </c>
      <c r="G85" s="34" t="n">
        <v>0</v>
      </c>
    </row>
    <row r="86" customFormat="false" ht="15" hidden="false" customHeight="false" outlineLevel="0" collapsed="false">
      <c r="E86" s="33" t="n">
        <v>48822</v>
      </c>
      <c r="F86" s="34" t="n">
        <v>0</v>
      </c>
      <c r="G86" s="34" t="n">
        <v>0</v>
      </c>
    </row>
    <row r="87" customFormat="false" ht="15" hidden="false" customHeight="false" outlineLevel="0" collapsed="false">
      <c r="E87" s="33" t="n">
        <v>48852</v>
      </c>
      <c r="F87" s="34" t="n">
        <v>0</v>
      </c>
      <c r="G87" s="34" t="n">
        <v>0</v>
      </c>
    </row>
    <row r="88" customFormat="false" ht="15" hidden="false" customHeight="false" outlineLevel="0" collapsed="false">
      <c r="E88" s="33" t="n">
        <v>48883</v>
      </c>
      <c r="F88" s="34" t="n">
        <v>0</v>
      </c>
      <c r="G88" s="34" t="n">
        <v>0</v>
      </c>
    </row>
    <row r="89" customFormat="false" ht="15" hidden="false" customHeight="false" outlineLevel="0" collapsed="false">
      <c r="E89" s="33" t="n">
        <v>48913</v>
      </c>
      <c r="F89" s="34" t="n">
        <v>0</v>
      </c>
      <c r="G89" s="34" t="n">
        <v>0</v>
      </c>
    </row>
    <row r="90" customFormat="false" ht="15" hidden="false" customHeight="false" outlineLevel="0" collapsed="false">
      <c r="E90" s="33" t="n">
        <v>48944</v>
      </c>
      <c r="F90" s="34" t="n">
        <v>0</v>
      </c>
      <c r="G90" s="34" t="n">
        <v>0</v>
      </c>
    </row>
  </sheetData>
  <mergeCells count="1"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4" min="3" style="0" width="19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9"/>
    <col collapsed="false" customWidth="true" hidden="false" outlineLevel="0" max="9" min="9" style="0" width="17"/>
  </cols>
  <sheetData>
    <row r="2" customFormat="false" ht="17.35" hidden="false" customHeight="false" outlineLevel="0" collapsed="false">
      <c r="B2" s="1" t="s">
        <v>53</v>
      </c>
    </row>
    <row r="3" customFormat="false" ht="3" hidden="false" customHeight="true" outlineLevel="0" collapsed="false">
      <c r="B3" s="2"/>
      <c r="C3" s="2"/>
      <c r="D3" s="2"/>
      <c r="E3" s="2"/>
      <c r="F3" s="2"/>
      <c r="G3" s="2"/>
      <c r="H3" s="2"/>
      <c r="I3" s="2"/>
    </row>
    <row r="5" customFormat="false" ht="31.5" hidden="false" customHeight="true" outlineLevel="0" collapsed="false">
      <c r="B5" s="3" t="s">
        <v>54</v>
      </c>
      <c r="C5" s="3" t="s">
        <v>55</v>
      </c>
      <c r="D5" s="3" t="s">
        <v>56</v>
      </c>
      <c r="E5" s="3" t="s">
        <v>4</v>
      </c>
      <c r="F5" s="3" t="s">
        <v>5</v>
      </c>
      <c r="G5" s="3" t="s">
        <v>57</v>
      </c>
      <c r="H5" s="3" t="s">
        <v>58</v>
      </c>
      <c r="I5" s="3" t="s">
        <v>59</v>
      </c>
    </row>
    <row r="6" customFormat="false" ht="15" hidden="false" customHeight="false" outlineLevel="0" collapsed="false">
      <c r="B6" s="5" t="n">
        <f aca="false">EOMONTH(Inputs!$C$15,1)</f>
        <v>46234</v>
      </c>
      <c r="C6" s="6" t="n">
        <f aca="false">SUMIFS('SSP CF'!$E$6:$E$77,'SSP CF'!$B$6:$B$77,B6)</f>
        <v>5801235.03</v>
      </c>
      <c r="D6" s="6" t="n">
        <f aca="false">SUMIFS('KKR CF'!$C$6:$C$400,'KKR CF'!$B$6:$B$400,B6)</f>
        <v>5801235.03</v>
      </c>
      <c r="E6" s="6" t="n">
        <f aca="false">D6-C6</f>
        <v>0</v>
      </c>
      <c r="F6" s="6" t="n">
        <f aca="false">SUM(E$6:E6)</f>
        <v>0</v>
      </c>
      <c r="G6" s="6" t="n">
        <f aca="false">IF(Inputs!$C$13=2,D6,C6)</f>
        <v>5801235.03</v>
      </c>
      <c r="H6" s="6" t="n">
        <f aca="false">G6*Inputs!$C$6</f>
        <v>2053534.51532605</v>
      </c>
      <c r="I6" s="13" t="n">
        <f aca="false">IF(B6&lt;Inputs!$C$9,Inputs!$C$9,EOMONTH(Inputs!$C$9,3*(INT(((YEAR(B6)-YEAR(Inputs!$C$9))*12+MONTH(B6)-MONTH(Inputs!$C$9))/3)+1)))</f>
        <v>46387</v>
      </c>
    </row>
    <row r="7" customFormat="false" ht="15" hidden="false" customHeight="false" outlineLevel="0" collapsed="false">
      <c r="B7" s="15" t="n">
        <f aca="false">EOMONTH(B6,1)</f>
        <v>46265</v>
      </c>
      <c r="C7" s="10" t="n">
        <f aca="false">SUMIFS('SSP CF'!$E$6:$E$77,'SSP CF'!$B$6:$B$77,B7)</f>
        <v>6016712.81</v>
      </c>
      <c r="D7" s="10" t="n">
        <f aca="false">SUMIFS('KKR CF'!$C$6:$C$400,'KKR CF'!$B$6:$B$400,B7)</f>
        <v>6016712.81</v>
      </c>
      <c r="E7" s="10" t="n">
        <f aca="false">D7-C7</f>
        <v>0</v>
      </c>
      <c r="F7" s="10" t="n">
        <f aca="false">SUM(E$6:E7)</f>
        <v>0</v>
      </c>
      <c r="G7" s="10" t="n">
        <f aca="false">IF(Inputs!$C$13=2,D7,C7)</f>
        <v>6016712.81</v>
      </c>
      <c r="H7" s="10" t="n">
        <f aca="false">G7*Inputs!$C$6</f>
        <v>2129809.8353618</v>
      </c>
      <c r="I7" s="15" t="n">
        <f aca="false">IF(B7&lt;Inputs!$C$9,Inputs!$C$9,EOMONTH(Inputs!$C$9,3*(INT(((YEAR(B7)-YEAR(Inputs!$C$9))*12+MONTH(B7)-MONTH(Inputs!$C$9))/3)+1)))</f>
        <v>46387</v>
      </c>
    </row>
    <row r="8" customFormat="false" ht="15" hidden="false" customHeight="false" outlineLevel="0" collapsed="false">
      <c r="B8" s="13" t="n">
        <f aca="false">EOMONTH(B7,1)</f>
        <v>46295</v>
      </c>
      <c r="C8" s="6" t="n">
        <f aca="false">SUMIFS('SSP CF'!$E$6:$E$77,'SSP CF'!$B$6:$B$77,B8)</f>
        <v>6157489.39</v>
      </c>
      <c r="D8" s="6" t="n">
        <f aca="false">SUMIFS('KKR CF'!$C$6:$C$400,'KKR CF'!$B$6:$B$400,B8)</f>
        <v>6157489.39</v>
      </c>
      <c r="E8" s="6" t="n">
        <f aca="false">D8-C8</f>
        <v>0</v>
      </c>
      <c r="F8" s="6" t="n">
        <f aca="false">SUM(E$6:E8)</f>
        <v>0</v>
      </c>
      <c r="G8" s="6" t="n">
        <f aca="false">IF(Inputs!$C$13=2,D8,C8)</f>
        <v>6157489.39</v>
      </c>
      <c r="H8" s="6" t="n">
        <f aca="false">G8*Inputs!$C$6</f>
        <v>2179642.252853</v>
      </c>
      <c r="I8" s="13" t="n">
        <f aca="false">IF(B8&lt;Inputs!$C$9,Inputs!$C$9,EOMONTH(Inputs!$C$9,3*(INT(((YEAR(B8)-YEAR(Inputs!$C$9))*12+MONTH(B8)-MONTH(Inputs!$C$9))/3)+1)))</f>
        <v>46387</v>
      </c>
    </row>
    <row r="9" customFormat="false" ht="15" hidden="false" customHeight="false" outlineLevel="0" collapsed="false">
      <c r="B9" s="15" t="n">
        <f aca="false">EOMONTH(B8,1)</f>
        <v>46326</v>
      </c>
      <c r="C9" s="10" t="n">
        <f aca="false">SUMIFS('SSP CF'!$E$6:$E$77,'SSP CF'!$B$6:$B$77,B9)</f>
        <v>5574857.08614344</v>
      </c>
      <c r="D9" s="10" t="n">
        <f aca="false">SUMIFS('KKR CF'!$C$6:$C$400,'KKR CF'!$B$6:$B$400,B9)</f>
        <v>5574857.08614344</v>
      </c>
      <c r="E9" s="10" t="n">
        <f aca="false">D9-C9</f>
        <v>0</v>
      </c>
      <c r="F9" s="10" t="n">
        <f aca="false">SUM(E$6:E9)</f>
        <v>0</v>
      </c>
      <c r="G9" s="10" t="n">
        <f aca="false">IF(Inputs!$C$13=2,D9,C9)</f>
        <v>5574857.08614344</v>
      </c>
      <c r="H9" s="10" t="n">
        <f aca="false">G9*Inputs!$C$6</f>
        <v>1973400.73022443</v>
      </c>
      <c r="I9" s="15" t="n">
        <f aca="false">IF(B9&lt;Inputs!$C$9,Inputs!$C$9,EOMONTH(Inputs!$C$9,3*(INT(((YEAR(B9)-YEAR(Inputs!$C$9))*12+MONTH(B9)-MONTH(Inputs!$C$9))/3)+1)))</f>
        <v>46387</v>
      </c>
    </row>
    <row r="10" customFormat="false" ht="15" hidden="false" customHeight="false" outlineLevel="0" collapsed="false">
      <c r="B10" s="13" t="n">
        <f aca="false">EOMONTH(B9,1)</f>
        <v>46356</v>
      </c>
      <c r="C10" s="6" t="n">
        <f aca="false">SUMIFS('SSP CF'!$E$6:$E$77,'SSP CF'!$B$6:$B$77,B10)</f>
        <v>5760531.96778447</v>
      </c>
      <c r="D10" s="6" t="n">
        <f aca="false">SUMIFS('KKR CF'!$C$6:$C$400,'KKR CF'!$B$6:$B$400,B10)</f>
        <v>5760531.96778447</v>
      </c>
      <c r="E10" s="6" t="n">
        <f aca="false">D10-C10</f>
        <v>0</v>
      </c>
      <c r="F10" s="6" t="n">
        <f aca="false">SUM(E$6:E10)</f>
        <v>0</v>
      </c>
      <c r="G10" s="6" t="n">
        <f aca="false">IF(Inputs!$C$13=2,D10,C10)</f>
        <v>5760531.96778447</v>
      </c>
      <c r="H10" s="6" t="n">
        <f aca="false">G10*Inputs!$C$6</f>
        <v>2039126.35177005</v>
      </c>
      <c r="I10" s="13" t="n">
        <f aca="false">IF(B10&lt;Inputs!$C$9,Inputs!$C$9,EOMONTH(Inputs!$C$9,3*(INT(((YEAR(B10)-YEAR(Inputs!$C$9))*12+MONTH(B10)-MONTH(Inputs!$C$9))/3)+1)))</f>
        <v>46387</v>
      </c>
    </row>
    <row r="11" customFormat="false" ht="15" hidden="false" customHeight="false" outlineLevel="0" collapsed="false">
      <c r="B11" s="15" t="n">
        <f aca="false">EOMONTH(B10,1)</f>
        <v>46387</v>
      </c>
      <c r="C11" s="10" t="n">
        <f aca="false">SUMIFS('SSP CF'!$E$6:$E$77,'SSP CF'!$B$6:$B$77,B11)</f>
        <v>5574473.7554972</v>
      </c>
      <c r="D11" s="10" t="n">
        <f aca="false">SUMIFS('KKR CF'!$C$6:$C$400,'KKR CF'!$B$6:$B$400,B11)</f>
        <v>5574473.7554972</v>
      </c>
      <c r="E11" s="10" t="n">
        <f aca="false">D11-C11</f>
        <v>0</v>
      </c>
      <c r="F11" s="10" t="n">
        <f aca="false">SUM(E$6:E11)</f>
        <v>0</v>
      </c>
      <c r="G11" s="10" t="n">
        <f aca="false">IF(Inputs!$C$13=2,D11,C11)</f>
        <v>5574473.7554972</v>
      </c>
      <c r="H11" s="10" t="n">
        <f aca="false">G11*Inputs!$C$6</f>
        <v>1973265.03796084</v>
      </c>
      <c r="I11" s="15" t="n">
        <f aca="false">IF(B11&lt;Inputs!$C$9,Inputs!$C$9,EOMONTH(Inputs!$C$9,3*(INT(((YEAR(B11)-YEAR(Inputs!$C$9))*12+MONTH(B11)-MONTH(Inputs!$C$9))/3)+1)))</f>
        <v>46477</v>
      </c>
    </row>
    <row r="12" customFormat="false" ht="15" hidden="false" customHeight="false" outlineLevel="0" collapsed="false">
      <c r="B12" s="13" t="n">
        <f aca="false">EOMONTH(B11,1)</f>
        <v>46418</v>
      </c>
      <c r="C12" s="6" t="n">
        <f aca="false">SUMIFS('SSP CF'!$E$6:$E$77,'SSP CF'!$B$6:$B$77,B12)</f>
        <v>5534797.16855679</v>
      </c>
      <c r="D12" s="6" t="n">
        <f aca="false">SUMIFS('KKR CF'!$C$6:$C$400,'KKR CF'!$B$6:$B$400,B12)</f>
        <v>5534797.16855679</v>
      </c>
      <c r="E12" s="6" t="n">
        <f aca="false">D12-C12</f>
        <v>0</v>
      </c>
      <c r="F12" s="6" t="n">
        <f aca="false">SUM(E$6:E12)</f>
        <v>0</v>
      </c>
      <c r="G12" s="6" t="n">
        <f aca="false">IF(Inputs!$C$13=2,D12,C12)</f>
        <v>5534797.16855679</v>
      </c>
      <c r="H12" s="6" t="n">
        <f aca="false">G12*Inputs!$C$6</f>
        <v>1959220.22848301</v>
      </c>
      <c r="I12" s="13" t="n">
        <f aca="false">IF(B12&lt;Inputs!$C$9,Inputs!$C$9,EOMONTH(Inputs!$C$9,3*(INT(((YEAR(B12)-YEAR(Inputs!$C$9))*12+MONTH(B12)-MONTH(Inputs!$C$9))/3)+1)))</f>
        <v>46477</v>
      </c>
    </row>
    <row r="13" customFormat="false" ht="15" hidden="false" customHeight="false" outlineLevel="0" collapsed="false">
      <c r="B13" s="15" t="n">
        <f aca="false">EOMONTH(B12,1)</f>
        <v>46446</v>
      </c>
      <c r="C13" s="10" t="n">
        <f aca="false">SUMIFS('SSP CF'!$E$6:$E$77,'SSP CF'!$B$6:$B$77,B13)</f>
        <v>5535683.10993312</v>
      </c>
      <c r="D13" s="10" t="n">
        <f aca="false">SUMIFS('KKR CF'!$C$6:$C$400,'KKR CF'!$B$6:$B$400,B13)</f>
        <v>5535683.10993312</v>
      </c>
      <c r="E13" s="10" t="n">
        <f aca="false">D13-C13</f>
        <v>0</v>
      </c>
      <c r="F13" s="10" t="n">
        <f aca="false">SUM(E$6:E13)</f>
        <v>0</v>
      </c>
      <c r="G13" s="10" t="n">
        <f aca="false">IF(Inputs!$C$13=2,D13,C13)</f>
        <v>5535683.10993312</v>
      </c>
      <c r="H13" s="10" t="n">
        <f aca="false">G13*Inputs!$C$6</f>
        <v>1959533.83604855</v>
      </c>
      <c r="I13" s="15" t="n">
        <f aca="false">IF(B13&lt;Inputs!$C$9,Inputs!$C$9,EOMONTH(Inputs!$C$9,3*(INT(((YEAR(B13)-YEAR(Inputs!$C$9))*12+MONTH(B13)-MONTH(Inputs!$C$9))/3)+1)))</f>
        <v>46477</v>
      </c>
    </row>
    <row r="14" customFormat="false" ht="15" hidden="false" customHeight="false" outlineLevel="0" collapsed="false">
      <c r="B14" s="13" t="n">
        <f aca="false">EOMONTH(B13,1)</f>
        <v>46477</v>
      </c>
      <c r="C14" s="6" t="n">
        <f aca="false">SUMIFS('SSP CF'!$E$6:$E$77,'SSP CF'!$B$6:$B$77,B14)</f>
        <v>5336678.62527082</v>
      </c>
      <c r="D14" s="6" t="n">
        <f aca="false">SUMIFS('KKR CF'!$C$6:$C$400,'KKR CF'!$B$6:$B$400,B14)</f>
        <v>5336678.62527082</v>
      </c>
      <c r="E14" s="6" t="n">
        <f aca="false">D14-C14</f>
        <v>0</v>
      </c>
      <c r="F14" s="6" t="n">
        <f aca="false">SUM(E$6:E14)</f>
        <v>0</v>
      </c>
      <c r="G14" s="6" t="n">
        <f aca="false">IF(Inputs!$C$13=2,D14,C14)</f>
        <v>5336678.62527082</v>
      </c>
      <c r="H14" s="6" t="n">
        <f aca="false">G14*Inputs!$C$6</f>
        <v>1889089.77097527</v>
      </c>
      <c r="I14" s="13" t="n">
        <f aca="false">IF(B14&lt;Inputs!$C$9,Inputs!$C$9,EOMONTH(Inputs!$C$9,3*(INT(((YEAR(B14)-YEAR(Inputs!$C$9))*12+MONTH(B14)-MONTH(Inputs!$C$9))/3)+1)))</f>
        <v>46568</v>
      </c>
    </row>
    <row r="15" customFormat="false" ht="15" hidden="false" customHeight="false" outlineLevel="0" collapsed="false">
      <c r="B15" s="15" t="n">
        <f aca="false">EOMONTH(B14,1)</f>
        <v>46507</v>
      </c>
      <c r="C15" s="10" t="n">
        <f aca="false">SUMIFS('SSP CF'!$E$6:$E$77,'SSP CF'!$B$6:$B$77,B15)</f>
        <v>5333537.09308497</v>
      </c>
      <c r="D15" s="10" t="n">
        <f aca="false">SUMIFS('KKR CF'!$C$6:$C$400,'KKR CF'!$B$6:$B$400,B15)</f>
        <v>5333537.09308497</v>
      </c>
      <c r="E15" s="10" t="n">
        <f aca="false">D15-C15</f>
        <v>0</v>
      </c>
      <c r="F15" s="10" t="n">
        <f aca="false">SUM(E$6:E15)</f>
        <v>0</v>
      </c>
      <c r="G15" s="10" t="n">
        <f aca="false">IF(Inputs!$C$13=2,D15,C15)</f>
        <v>5333537.09308497</v>
      </c>
      <c r="H15" s="10" t="n">
        <f aca="false">G15*Inputs!$C$6</f>
        <v>1887977.72418845</v>
      </c>
      <c r="I15" s="15" t="n">
        <f aca="false">IF(B15&lt;Inputs!$C$9,Inputs!$C$9,EOMONTH(Inputs!$C$9,3*(INT(((YEAR(B15)-YEAR(Inputs!$C$9))*12+MONTH(B15)-MONTH(Inputs!$C$9))/3)+1)))</f>
        <v>46568</v>
      </c>
    </row>
    <row r="16" customFormat="false" ht="15" hidden="false" customHeight="false" outlineLevel="0" collapsed="false">
      <c r="B16" s="13" t="n">
        <f aca="false">EOMONTH(B15,1)</f>
        <v>46538</v>
      </c>
      <c r="C16" s="6" t="n">
        <f aca="false">SUMIFS('SSP CF'!$E$6:$E$77,'SSP CF'!$B$6:$B$77,B16)</f>
        <v>5159473.89426633</v>
      </c>
      <c r="D16" s="6" t="n">
        <f aca="false">SUMIFS('KKR CF'!$C$6:$C$400,'KKR CF'!$B$6:$B$400,B16)</f>
        <v>5159473.89426633</v>
      </c>
      <c r="E16" s="6" t="n">
        <f aca="false">D16-C16</f>
        <v>0</v>
      </c>
      <c r="F16" s="6" t="n">
        <f aca="false">SUM(E$6:E16)</f>
        <v>0</v>
      </c>
      <c r="G16" s="6" t="n">
        <f aca="false">IF(Inputs!$C$13=2,D16,C16)</f>
        <v>5159473.89426633</v>
      </c>
      <c r="H16" s="6" t="n">
        <f aca="false">G16*Inputs!$C$6</f>
        <v>1826362.43282831</v>
      </c>
      <c r="I16" s="13" t="n">
        <f aca="false">IF(B16&lt;Inputs!$C$9,Inputs!$C$9,EOMONTH(Inputs!$C$9,3*(INT(((YEAR(B16)-YEAR(Inputs!$C$9))*12+MONTH(B16)-MONTH(Inputs!$C$9))/3)+1)))</f>
        <v>46568</v>
      </c>
    </row>
    <row r="17" customFormat="false" ht="15" hidden="false" customHeight="false" outlineLevel="0" collapsed="false">
      <c r="B17" s="15" t="n">
        <f aca="false">EOMONTH(B16,1)</f>
        <v>46568</v>
      </c>
      <c r="C17" s="10" t="n">
        <f aca="false">SUMIFS('SSP CF'!$E$6:$E$77,'SSP CF'!$B$6:$B$77,B17)</f>
        <v>5184298.60907558</v>
      </c>
      <c r="D17" s="10" t="n">
        <f aca="false">SUMIFS('KKR CF'!$C$6:$C$400,'KKR CF'!$B$6:$B$400,B17)</f>
        <v>5184298.60907558</v>
      </c>
      <c r="E17" s="10" t="n">
        <f aca="false">D17-C17</f>
        <v>0</v>
      </c>
      <c r="F17" s="10" t="n">
        <f aca="false">SUM(E$6:E17)</f>
        <v>0</v>
      </c>
      <c r="G17" s="10" t="n">
        <f aca="false">IF(Inputs!$C$13=2,D17,C17)</f>
        <v>5184298.60907558</v>
      </c>
      <c r="H17" s="10" t="n">
        <f aca="false">G17*Inputs!$C$6</f>
        <v>1835149.94245864</v>
      </c>
      <c r="I17" s="15" t="n">
        <f aca="false">IF(B17&lt;Inputs!$C$9,Inputs!$C$9,EOMONTH(Inputs!$C$9,3*(INT(((YEAR(B17)-YEAR(Inputs!$C$9))*12+MONTH(B17)-MONTH(Inputs!$C$9))/3)+1)))</f>
        <v>46660</v>
      </c>
    </row>
    <row r="18" customFormat="false" ht="15" hidden="false" customHeight="false" outlineLevel="0" collapsed="false">
      <c r="B18" s="13" t="n">
        <f aca="false">EOMONTH(B17,1)</f>
        <v>46599</v>
      </c>
      <c r="C18" s="6" t="n">
        <f aca="false">SUMIFS('SSP CF'!$E$6:$E$77,'SSP CF'!$B$6:$B$77,B18)</f>
        <v>5055142.94358055</v>
      </c>
      <c r="D18" s="6" t="n">
        <f aca="false">SUMIFS('KKR CF'!$C$6:$C$400,'KKR CF'!$B$6:$B$400,B18)</f>
        <v>5055142.94358055</v>
      </c>
      <c r="E18" s="6" t="n">
        <f aca="false">D18-C18</f>
        <v>0</v>
      </c>
      <c r="F18" s="6" t="n">
        <f aca="false">SUM(E$6:E18)</f>
        <v>0</v>
      </c>
      <c r="G18" s="6" t="n">
        <f aca="false">IF(Inputs!$C$13=2,D18,C18)</f>
        <v>5055142.94358055</v>
      </c>
      <c r="H18" s="6" t="n">
        <f aca="false">G18*Inputs!$C$6</f>
        <v>1789431.12300512</v>
      </c>
      <c r="I18" s="13" t="n">
        <f aca="false">IF(B18&lt;Inputs!$C$9,Inputs!$C$9,EOMONTH(Inputs!$C$9,3*(INT(((YEAR(B18)-YEAR(Inputs!$C$9))*12+MONTH(B18)-MONTH(Inputs!$C$9))/3)+1)))</f>
        <v>46660</v>
      </c>
    </row>
    <row r="19" customFormat="false" ht="15" hidden="false" customHeight="false" outlineLevel="0" collapsed="false">
      <c r="B19" s="15" t="n">
        <f aca="false">EOMONTH(B18,1)</f>
        <v>46630</v>
      </c>
      <c r="C19" s="10" t="n">
        <f aca="false">SUMIFS('SSP CF'!$E$6:$E$77,'SSP CF'!$B$6:$B$77,B19)</f>
        <v>5139191.03080719</v>
      </c>
      <c r="D19" s="10" t="n">
        <f aca="false">SUMIFS('KKR CF'!$C$6:$C$400,'KKR CF'!$B$6:$B$400,B19)</f>
        <v>5139191.03080719</v>
      </c>
      <c r="E19" s="10" t="n">
        <f aca="false">D19-C19</f>
        <v>0</v>
      </c>
      <c r="F19" s="10" t="n">
        <f aca="false">SUM(E$6:E19)</f>
        <v>0</v>
      </c>
      <c r="G19" s="10" t="n">
        <f aca="false">IF(Inputs!$C$13=2,D19,C19)</f>
        <v>5139191.03080719</v>
      </c>
      <c r="H19" s="10" t="n">
        <f aca="false">G19*Inputs!$C$6</f>
        <v>1819182.65818246</v>
      </c>
      <c r="I19" s="15" t="n">
        <f aca="false">IF(B19&lt;Inputs!$C$9,Inputs!$C$9,EOMONTH(Inputs!$C$9,3*(INT(((YEAR(B19)-YEAR(Inputs!$C$9))*12+MONTH(B19)-MONTH(Inputs!$C$9))/3)+1)))</f>
        <v>46660</v>
      </c>
    </row>
    <row r="20" customFormat="false" ht="15" hidden="false" customHeight="false" outlineLevel="0" collapsed="false">
      <c r="B20" s="13" t="n">
        <f aca="false">EOMONTH(B19,1)</f>
        <v>46660</v>
      </c>
      <c r="C20" s="6" t="n">
        <f aca="false">SUMIFS('SSP CF'!$E$6:$E$77,'SSP CF'!$B$6:$B$77,B20)</f>
        <v>5030360.89210166</v>
      </c>
      <c r="D20" s="6" t="n">
        <f aca="false">SUMIFS('KKR CF'!$C$6:$C$400,'KKR CF'!$B$6:$B$400,B20)</f>
        <v>5030360.89210166</v>
      </c>
      <c r="E20" s="6" t="n">
        <f aca="false">D20-C20</f>
        <v>0</v>
      </c>
      <c r="F20" s="6" t="n">
        <f aca="false">SUM(E$6:E20)</f>
        <v>0</v>
      </c>
      <c r="G20" s="6" t="n">
        <f aca="false">IF(Inputs!$C$13=2,D20,C20)</f>
        <v>5030360.89210166</v>
      </c>
      <c r="H20" s="6" t="n">
        <f aca="false">G20*Inputs!$C$6</f>
        <v>1780658.71543858</v>
      </c>
      <c r="I20" s="13" t="n">
        <f aca="false">IF(B20&lt;Inputs!$C$9,Inputs!$C$9,EOMONTH(Inputs!$C$9,3*(INT(((YEAR(B20)-YEAR(Inputs!$C$9))*12+MONTH(B20)-MONTH(Inputs!$C$9))/3)+1)))</f>
        <v>46752</v>
      </c>
    </row>
    <row r="21" customFormat="false" ht="15" hidden="false" customHeight="false" outlineLevel="0" collapsed="false">
      <c r="B21" s="15" t="n">
        <f aca="false">EOMONTH(B20,1)</f>
        <v>46691</v>
      </c>
      <c r="C21" s="10" t="n">
        <f aca="false">SUMIFS('SSP CF'!$E$6:$E$77,'SSP CF'!$B$6:$B$77,B21)</f>
        <v>4531510.02431214</v>
      </c>
      <c r="D21" s="10" t="n">
        <f aca="false">SUMIFS('KKR CF'!$C$6:$C$400,'KKR CF'!$B$6:$B$400,B21)</f>
        <v>4531510.02431214</v>
      </c>
      <c r="E21" s="10" t="n">
        <f aca="false">D21-C21</f>
        <v>0</v>
      </c>
      <c r="F21" s="10" t="n">
        <f aca="false">SUM(E$6:E21)</f>
        <v>0</v>
      </c>
      <c r="G21" s="10" t="n">
        <f aca="false">IF(Inputs!$C$13=2,D21,C21)</f>
        <v>4531510.02431214</v>
      </c>
      <c r="H21" s="10" t="n">
        <f aca="false">G21*Inputs!$C$6</f>
        <v>1604074.33819673</v>
      </c>
      <c r="I21" s="15" t="n">
        <f aca="false">IF(B21&lt;Inputs!$C$9,Inputs!$C$9,EOMONTH(Inputs!$C$9,3*(INT(((YEAR(B21)-YEAR(Inputs!$C$9))*12+MONTH(B21)-MONTH(Inputs!$C$9))/3)+1)))</f>
        <v>46752</v>
      </c>
    </row>
    <row r="22" customFormat="false" ht="15" hidden="false" customHeight="false" outlineLevel="0" collapsed="false">
      <c r="B22" s="13" t="n">
        <f aca="false">EOMONTH(B21,1)</f>
        <v>46721</v>
      </c>
      <c r="C22" s="6" t="n">
        <f aca="false">SUMIFS('SSP CF'!$E$6:$E$77,'SSP CF'!$B$6:$B$77,B22)</f>
        <v>4551431.69057238</v>
      </c>
      <c r="D22" s="6" t="n">
        <f aca="false">SUMIFS('KKR CF'!$C$6:$C$400,'KKR CF'!$B$6:$B$400,B22)</f>
        <v>4551431.69057238</v>
      </c>
      <c r="E22" s="6" t="n">
        <f aca="false">D22-C22</f>
        <v>0</v>
      </c>
      <c r="F22" s="6" t="n">
        <f aca="false">SUM(E$6:E22)</f>
        <v>0</v>
      </c>
      <c r="G22" s="6" t="n">
        <f aca="false">IF(Inputs!$C$13=2,D22,C22)</f>
        <v>4551431.69057238</v>
      </c>
      <c r="H22" s="6" t="n">
        <f aca="false">G22*Inputs!$C$6</f>
        <v>1611126.25542757</v>
      </c>
      <c r="I22" s="13" t="n">
        <f aca="false">IF(B22&lt;Inputs!$C$9,Inputs!$C$9,EOMONTH(Inputs!$C$9,3*(INT(((YEAR(B22)-YEAR(Inputs!$C$9))*12+MONTH(B22)-MONTH(Inputs!$C$9))/3)+1)))</f>
        <v>46752</v>
      </c>
    </row>
    <row r="23" customFormat="false" ht="15" hidden="false" customHeight="false" outlineLevel="0" collapsed="false">
      <c r="B23" s="15" t="n">
        <f aca="false">EOMONTH(B22,1)</f>
        <v>46752</v>
      </c>
      <c r="C23" s="10" t="n">
        <f aca="false">SUMIFS('SSP CF'!$E$6:$E$77,'SSP CF'!$B$6:$B$77,B23)</f>
        <v>4390833.00033407</v>
      </c>
      <c r="D23" s="10" t="n">
        <f aca="false">SUMIFS('KKR CF'!$C$6:$C$400,'KKR CF'!$B$6:$B$400,B23)</f>
        <v>4390833.00033407</v>
      </c>
      <c r="E23" s="10" t="n">
        <f aca="false">D23-C23</f>
        <v>0</v>
      </c>
      <c r="F23" s="10" t="n">
        <f aca="false">SUM(E$6:E23)</f>
        <v>0</v>
      </c>
      <c r="G23" s="10" t="n">
        <f aca="false">IF(Inputs!$C$13=2,D23,C23)</f>
        <v>4390833.00033407</v>
      </c>
      <c r="H23" s="10" t="n">
        <f aca="false">G23*Inputs!$C$6</f>
        <v>1554277.16177509</v>
      </c>
      <c r="I23" s="15" t="n">
        <f aca="false">IF(B23&lt;Inputs!$C$9,Inputs!$C$9,EOMONTH(Inputs!$C$9,3*(INT(((YEAR(B23)-YEAR(Inputs!$C$9))*12+MONTH(B23)-MONTH(Inputs!$C$9))/3)+1)))</f>
        <v>46843</v>
      </c>
    </row>
    <row r="24" customFormat="false" ht="15" hidden="false" customHeight="false" outlineLevel="0" collapsed="false">
      <c r="B24" s="13" t="n">
        <f aca="false">EOMONTH(B23,1)</f>
        <v>46783</v>
      </c>
      <c r="C24" s="6" t="n">
        <f aca="false">SUMIFS('SSP CF'!$E$6:$E$77,'SSP CF'!$B$6:$B$77,B24)</f>
        <v>4526599.02056796</v>
      </c>
      <c r="D24" s="6" t="n">
        <f aca="false">SUMIFS('KKR CF'!$C$6:$C$400,'KKR CF'!$B$6:$B$400,B24)</f>
        <v>4526599.02056796</v>
      </c>
      <c r="E24" s="6" t="n">
        <f aca="false">D24-C24</f>
        <v>0</v>
      </c>
      <c r="F24" s="6" t="n">
        <f aca="false">SUM(E$6:E24)</f>
        <v>0</v>
      </c>
      <c r="G24" s="6" t="n">
        <f aca="false">IF(Inputs!$C$13=2,D24,C24)</f>
        <v>4526599.02056796</v>
      </c>
      <c r="H24" s="6" t="n">
        <f aca="false">G24*Inputs!$C$6</f>
        <v>1602335.92979897</v>
      </c>
      <c r="I24" s="13" t="n">
        <f aca="false">IF(B24&lt;Inputs!$C$9,Inputs!$C$9,EOMONTH(Inputs!$C$9,3*(INT(((YEAR(B24)-YEAR(Inputs!$C$9))*12+MONTH(B24)-MONTH(Inputs!$C$9))/3)+1)))</f>
        <v>46843</v>
      </c>
    </row>
    <row r="25" customFormat="false" ht="15" hidden="false" customHeight="false" outlineLevel="0" collapsed="false">
      <c r="B25" s="15" t="n">
        <f aca="false">EOMONTH(B24,1)</f>
        <v>46812</v>
      </c>
      <c r="C25" s="10" t="n">
        <f aca="false">SUMIFS('SSP CF'!$E$6:$E$77,'SSP CF'!$B$6:$B$77,B25)</f>
        <v>4052563.6431685</v>
      </c>
      <c r="D25" s="10" t="n">
        <f aca="false">SUMIFS('KKR CF'!$C$6:$C$400,'KKR CF'!$B$6:$B$400,B25)</f>
        <v>4052563.6431685</v>
      </c>
      <c r="E25" s="10" t="n">
        <f aca="false">D25-C25</f>
        <v>0</v>
      </c>
      <c r="F25" s="10" t="n">
        <f aca="false">SUM(E$6:E25)</f>
        <v>0</v>
      </c>
      <c r="G25" s="10" t="n">
        <f aca="false">IF(Inputs!$C$13=2,D25,C25)</f>
        <v>4052563.6431685</v>
      </c>
      <c r="H25" s="10" t="n">
        <f aca="false">G25*Inputs!$C$6</f>
        <v>1434535.79690633</v>
      </c>
      <c r="I25" s="15" t="n">
        <f aca="false">IF(B25&lt;Inputs!$C$9,Inputs!$C$9,EOMONTH(Inputs!$C$9,3*(INT(((YEAR(B25)-YEAR(Inputs!$C$9))*12+MONTH(B25)-MONTH(Inputs!$C$9))/3)+1)))</f>
        <v>46843</v>
      </c>
    </row>
    <row r="26" customFormat="false" ht="15" hidden="false" customHeight="false" outlineLevel="0" collapsed="false">
      <c r="B26" s="13" t="n">
        <f aca="false">EOMONTH(B25,1)</f>
        <v>46843</v>
      </c>
      <c r="C26" s="6" t="n">
        <f aca="false">SUMIFS('SSP CF'!$E$6:$E$77,'SSP CF'!$B$6:$B$77,B26)</f>
        <v>4113463.77857641</v>
      </c>
      <c r="D26" s="6" t="n">
        <f aca="false">SUMIFS('KKR CF'!$C$6:$C$400,'KKR CF'!$B$6:$B$400,B26)</f>
        <v>4113463.77857641</v>
      </c>
      <c r="E26" s="6" t="n">
        <f aca="false">D26-C26</f>
        <v>0</v>
      </c>
      <c r="F26" s="6" t="n">
        <f aca="false">SUM(E$6:E26)</f>
        <v>0</v>
      </c>
      <c r="G26" s="6" t="n">
        <f aca="false">IF(Inputs!$C$13=2,D26,C26)</f>
        <v>4113463.77857641</v>
      </c>
      <c r="H26" s="6" t="n">
        <f aca="false">G26*Inputs!$C$6</f>
        <v>1456093.36687229</v>
      </c>
      <c r="I26" s="13" t="n">
        <f aca="false">IF(B26&lt;Inputs!$C$9,Inputs!$C$9,EOMONTH(Inputs!$C$9,3*(INT(((YEAR(B26)-YEAR(Inputs!$C$9))*12+MONTH(B26)-MONTH(Inputs!$C$9))/3)+1)))</f>
        <v>46934</v>
      </c>
    </row>
    <row r="27" customFormat="false" ht="15" hidden="false" customHeight="false" outlineLevel="0" collapsed="false">
      <c r="B27" s="15" t="n">
        <f aca="false">EOMONTH(B26,1)</f>
        <v>46873</v>
      </c>
      <c r="C27" s="10" t="n">
        <f aca="false">SUMIFS('SSP CF'!$E$6:$E$77,'SSP CF'!$B$6:$B$77,B27)</f>
        <v>4064611.82698513</v>
      </c>
      <c r="D27" s="10" t="n">
        <f aca="false">SUMIFS('KKR CF'!$C$6:$C$400,'KKR CF'!$B$6:$B$400,B27)</f>
        <v>4064611.82698513</v>
      </c>
      <c r="E27" s="10" t="n">
        <f aca="false">D27-C27</f>
        <v>0</v>
      </c>
      <c r="F27" s="10" t="n">
        <f aca="false">SUM(E$6:E27)</f>
        <v>0</v>
      </c>
      <c r="G27" s="10" t="n">
        <f aca="false">IF(Inputs!$C$13=2,D27,C27)</f>
        <v>4064611.82698513</v>
      </c>
      <c r="H27" s="10" t="n">
        <f aca="false">G27*Inputs!$C$6</f>
        <v>1438800.64071744</v>
      </c>
      <c r="I27" s="15" t="n">
        <f aca="false">IF(B27&lt;Inputs!$C$9,Inputs!$C$9,EOMONTH(Inputs!$C$9,3*(INT(((YEAR(B27)-YEAR(Inputs!$C$9))*12+MONTH(B27)-MONTH(Inputs!$C$9))/3)+1)))</f>
        <v>46934</v>
      </c>
    </row>
    <row r="28" customFormat="false" ht="15" hidden="false" customHeight="false" outlineLevel="0" collapsed="false">
      <c r="B28" s="13" t="n">
        <f aca="false">EOMONTH(B27,1)</f>
        <v>46904</v>
      </c>
      <c r="C28" s="6" t="n">
        <f aca="false">SUMIFS('SSP CF'!$E$6:$E$77,'SSP CF'!$B$6:$B$77,B28)</f>
        <v>3874221.76310655</v>
      </c>
      <c r="D28" s="6" t="n">
        <f aca="false">SUMIFS('KKR CF'!$C$6:$C$400,'KKR CF'!$B$6:$B$400,B28)</f>
        <v>3874221.76310655</v>
      </c>
      <c r="E28" s="6" t="n">
        <f aca="false">D28-C28</f>
        <v>0</v>
      </c>
      <c r="F28" s="6" t="n">
        <f aca="false">SUM(E$6:E28)</f>
        <v>0</v>
      </c>
      <c r="G28" s="6" t="n">
        <f aca="false">IF(Inputs!$C$13=2,D28,C28)</f>
        <v>3874221.76310655</v>
      </c>
      <c r="H28" s="6" t="n">
        <f aca="false">G28*Inputs!$C$6</f>
        <v>1371405.92812125</v>
      </c>
      <c r="I28" s="13" t="n">
        <f aca="false">IF(B28&lt;Inputs!$C$9,Inputs!$C$9,EOMONTH(Inputs!$C$9,3*(INT(((YEAR(B28)-YEAR(Inputs!$C$9))*12+MONTH(B28)-MONTH(Inputs!$C$9))/3)+1)))</f>
        <v>46934</v>
      </c>
    </row>
    <row r="29" customFormat="false" ht="15" hidden="false" customHeight="false" outlineLevel="0" collapsed="false">
      <c r="B29" s="15" t="n">
        <f aca="false">EOMONTH(B28,1)</f>
        <v>46934</v>
      </c>
      <c r="C29" s="10" t="n">
        <f aca="false">SUMIFS('SSP CF'!$E$6:$E$77,'SSP CF'!$B$6:$B$77,B29)</f>
        <v>4004902.99278541</v>
      </c>
      <c r="D29" s="10" t="n">
        <f aca="false">SUMIFS('KKR CF'!$C$6:$C$400,'KKR CF'!$B$6:$B$400,B29)</f>
        <v>4004902.99278541</v>
      </c>
      <c r="E29" s="10" t="n">
        <f aca="false">D29-C29</f>
        <v>0</v>
      </c>
      <c r="F29" s="10" t="n">
        <f aca="false">SUM(E$6:E29)</f>
        <v>0</v>
      </c>
      <c r="G29" s="10" t="n">
        <f aca="false">IF(Inputs!$C$13=2,D29,C29)</f>
        <v>4004902.99278541</v>
      </c>
      <c r="H29" s="10" t="n">
        <f aca="false">G29*Inputs!$C$6</f>
        <v>1417664.77029244</v>
      </c>
      <c r="I29" s="15" t="n">
        <f aca="false">IF(B29&lt;Inputs!$C$9,Inputs!$C$9,EOMONTH(Inputs!$C$9,3*(INT(((YEAR(B29)-YEAR(Inputs!$C$9))*12+MONTH(B29)-MONTH(Inputs!$C$9))/3)+1)))</f>
        <v>47026</v>
      </c>
    </row>
    <row r="30" customFormat="false" ht="15" hidden="false" customHeight="false" outlineLevel="0" collapsed="false">
      <c r="B30" s="13" t="n">
        <f aca="false">EOMONTH(B29,1)</f>
        <v>46965</v>
      </c>
      <c r="C30" s="6" t="n">
        <f aca="false">SUMIFS('SSP CF'!$E$6:$E$77,'SSP CF'!$B$6:$B$77,B30)</f>
        <v>3873226.71385705</v>
      </c>
      <c r="D30" s="6" t="n">
        <f aca="false">SUMIFS('KKR CF'!$C$6:$C$400,'KKR CF'!$B$6:$B$400,B30)</f>
        <v>3873226.71385705</v>
      </c>
      <c r="E30" s="6" t="n">
        <f aca="false">D30-C30</f>
        <v>0</v>
      </c>
      <c r="F30" s="6" t="n">
        <f aca="false">SUM(E$6:E30)</f>
        <v>0</v>
      </c>
      <c r="G30" s="6" t="n">
        <f aca="false">IF(Inputs!$C$13=2,D30,C30)</f>
        <v>3873226.71385705</v>
      </c>
      <c r="H30" s="6" t="n">
        <f aca="false">G30*Inputs!$C$6</f>
        <v>1371053.69829988</v>
      </c>
      <c r="I30" s="13" t="n">
        <f aca="false">IF(B30&lt;Inputs!$C$9,Inputs!$C$9,EOMONTH(Inputs!$C$9,3*(INT(((YEAR(B30)-YEAR(Inputs!$C$9))*12+MONTH(B30)-MONTH(Inputs!$C$9))/3)+1)))</f>
        <v>47026</v>
      </c>
    </row>
    <row r="31" customFormat="false" ht="15" hidden="false" customHeight="false" outlineLevel="0" collapsed="false">
      <c r="B31" s="15" t="n">
        <f aca="false">EOMONTH(B30,1)</f>
        <v>46996</v>
      </c>
      <c r="C31" s="10" t="n">
        <f aca="false">SUMIFS('SSP CF'!$E$6:$E$77,'SSP CF'!$B$6:$B$77,B31)</f>
        <v>3889834.32169393</v>
      </c>
      <c r="D31" s="10" t="n">
        <f aca="false">SUMIFS('KKR CF'!$C$6:$C$400,'KKR CF'!$B$6:$B$400,B31)</f>
        <v>3889834.32169393</v>
      </c>
      <c r="E31" s="10" t="n">
        <f aca="false">D31-C31</f>
        <v>0</v>
      </c>
      <c r="F31" s="10" t="n">
        <f aca="false">SUM(E$6:E31)</f>
        <v>0</v>
      </c>
      <c r="G31" s="10" t="n">
        <f aca="false">IF(Inputs!$C$13=2,D31,C31)</f>
        <v>3889834.32169393</v>
      </c>
      <c r="H31" s="10" t="n">
        <f aca="false">G31*Inputs!$C$6</f>
        <v>1376932.49750965</v>
      </c>
      <c r="I31" s="15" t="n">
        <f aca="false">IF(B31&lt;Inputs!$C$9,Inputs!$C$9,EOMONTH(Inputs!$C$9,3*(INT(((YEAR(B31)-YEAR(Inputs!$C$9))*12+MONTH(B31)-MONTH(Inputs!$C$9))/3)+1)))</f>
        <v>47026</v>
      </c>
    </row>
    <row r="32" customFormat="false" ht="15" hidden="false" customHeight="false" outlineLevel="0" collapsed="false">
      <c r="B32" s="13" t="n">
        <f aca="false">EOMONTH(B31,1)</f>
        <v>47026</v>
      </c>
      <c r="C32" s="6" t="n">
        <f aca="false">SUMIFS('SSP CF'!$E$6:$E$77,'SSP CF'!$B$6:$B$77,B32)</f>
        <v>3753713.83882682</v>
      </c>
      <c r="D32" s="6" t="n">
        <f aca="false">SUMIFS('KKR CF'!$C$6:$C$400,'KKR CF'!$B$6:$B$400,B32)</f>
        <v>3753713.83882682</v>
      </c>
      <c r="E32" s="6" t="n">
        <f aca="false">D32-C32</f>
        <v>0</v>
      </c>
      <c r="F32" s="6" t="n">
        <f aca="false">SUM(E$6:E32)</f>
        <v>0</v>
      </c>
      <c r="G32" s="6" t="n">
        <f aca="false">IF(Inputs!$C$13=2,D32,C32)</f>
        <v>3753713.83882682</v>
      </c>
      <c r="H32" s="6" t="n">
        <f aca="false">G32*Inputs!$C$6</f>
        <v>1328748.25598781</v>
      </c>
      <c r="I32" s="13" t="n">
        <f aca="false">IF(B32&lt;Inputs!$C$9,Inputs!$C$9,EOMONTH(Inputs!$C$9,3*(INT(((YEAR(B32)-YEAR(Inputs!$C$9))*12+MONTH(B32)-MONTH(Inputs!$C$9))/3)+1)))</f>
        <v>47118</v>
      </c>
    </row>
    <row r="33" customFormat="false" ht="15" hidden="false" customHeight="false" outlineLevel="0" collapsed="false">
      <c r="B33" s="15" t="n">
        <f aca="false">EOMONTH(B32,1)</f>
        <v>47057</v>
      </c>
      <c r="C33" s="10" t="n">
        <f aca="false">SUMIFS('SSP CF'!$E$6:$E$77,'SSP CF'!$B$6:$B$77,B33)</f>
        <v>2824996.27565416</v>
      </c>
      <c r="D33" s="10" t="n">
        <f aca="false">SUMIFS('KKR CF'!$C$6:$C$400,'KKR CF'!$B$6:$B$400,B33)</f>
        <v>2824996.27565416</v>
      </c>
      <c r="E33" s="10" t="n">
        <f aca="false">D33-C33</f>
        <v>0</v>
      </c>
      <c r="F33" s="10" t="n">
        <f aca="false">SUM(E$6:E33)</f>
        <v>0</v>
      </c>
      <c r="G33" s="10" t="n">
        <f aca="false">IF(Inputs!$C$13=2,D33,C33)</f>
        <v>2824996.27565416</v>
      </c>
      <c r="H33" s="10" t="n">
        <f aca="false">G33*Inputs!$C$6</f>
        <v>999998.677475295</v>
      </c>
      <c r="I33" s="15" t="n">
        <f aca="false">IF(B33&lt;Inputs!$C$9,Inputs!$C$9,EOMONTH(Inputs!$C$9,3*(INT(((YEAR(B33)-YEAR(Inputs!$C$9))*12+MONTH(B33)-MONTH(Inputs!$C$9))/3)+1)))</f>
        <v>47118</v>
      </c>
    </row>
    <row r="34" customFormat="false" ht="15" hidden="false" customHeight="false" outlineLevel="0" collapsed="false">
      <c r="B34" s="13" t="n">
        <f aca="false">EOMONTH(B33,1)</f>
        <v>47087</v>
      </c>
      <c r="C34" s="6" t="n">
        <f aca="false">SUMIFS('SSP CF'!$E$6:$E$77,'SSP CF'!$B$6:$B$77,B34)</f>
        <v>2814181.46021437</v>
      </c>
      <c r="D34" s="6" t="n">
        <f aca="false">SUMIFS('KKR CF'!$C$6:$C$400,'KKR CF'!$B$6:$B$400,B34)</f>
        <v>2814181.46021437</v>
      </c>
      <c r="E34" s="6" t="n">
        <f aca="false">D34-C34</f>
        <v>0</v>
      </c>
      <c r="F34" s="6" t="n">
        <f aca="false">SUM(E$6:E34)</f>
        <v>0</v>
      </c>
      <c r="G34" s="6" t="n">
        <f aca="false">IF(Inputs!$C$13=2,D34,C34)</f>
        <v>2814181.46021437</v>
      </c>
      <c r="H34" s="6" t="n">
        <f aca="false">G34*Inputs!$C$6</f>
        <v>996170.424238246</v>
      </c>
      <c r="I34" s="13" t="n">
        <f aca="false">IF(B34&lt;Inputs!$C$9,Inputs!$C$9,EOMONTH(Inputs!$C$9,3*(INT(((YEAR(B34)-YEAR(Inputs!$C$9))*12+MONTH(B34)-MONTH(Inputs!$C$9))/3)+1)))</f>
        <v>47118</v>
      </c>
    </row>
    <row r="35" customFormat="false" ht="15" hidden="false" customHeight="false" outlineLevel="0" collapsed="false">
      <c r="B35" s="15" t="n">
        <f aca="false">EOMONTH(B34,1)</f>
        <v>47118</v>
      </c>
      <c r="C35" s="10" t="n">
        <f aca="false">SUMIFS('SSP CF'!$E$6:$E$77,'SSP CF'!$B$6:$B$77,B35)</f>
        <v>2640443.9746504</v>
      </c>
      <c r="D35" s="10" t="n">
        <f aca="false">SUMIFS('KKR CF'!$C$6:$C$400,'KKR CF'!$B$6:$B$400,B35)</f>
        <v>2640443.9746504</v>
      </c>
      <c r="E35" s="10" t="n">
        <f aca="false">D35-C35</f>
        <v>0</v>
      </c>
      <c r="F35" s="10" t="n">
        <f aca="false">SUM(E$6:E35)</f>
        <v>0</v>
      </c>
      <c r="G35" s="10" t="n">
        <f aca="false">IF(Inputs!$C$13=2,D35,C35)</f>
        <v>2640443.9746504</v>
      </c>
      <c r="H35" s="10" t="n">
        <f aca="false">G35*Inputs!$C$6</f>
        <v>934670.429604933</v>
      </c>
      <c r="I35" s="15" t="n">
        <f aca="false">IF(B35&lt;Inputs!$C$9,Inputs!$C$9,EOMONTH(Inputs!$C$9,3*(INT(((YEAR(B35)-YEAR(Inputs!$C$9))*12+MONTH(B35)-MONTH(Inputs!$C$9))/3)+1)))</f>
        <v>47208</v>
      </c>
    </row>
    <row r="36" customFormat="false" ht="15" hidden="false" customHeight="false" outlineLevel="0" collapsed="false">
      <c r="B36" s="13" t="n">
        <f aca="false">EOMONTH(B35,1)</f>
        <v>47149</v>
      </c>
      <c r="C36" s="6" t="n">
        <f aca="false">SUMIFS('SSP CF'!$E$6:$E$77,'SSP CF'!$B$6:$B$77,B36)</f>
        <v>2434258.09128607</v>
      </c>
      <c r="D36" s="6" t="n">
        <f aca="false">SUMIFS('KKR CF'!$C$6:$C$400,'KKR CF'!$B$6:$B$400,B36)</f>
        <v>2434258.09128607</v>
      </c>
      <c r="E36" s="6" t="n">
        <f aca="false">D36-C36</f>
        <v>0</v>
      </c>
      <c r="F36" s="6" t="n">
        <f aca="false">SUM(E$6:E36)</f>
        <v>0</v>
      </c>
      <c r="G36" s="6" t="n">
        <f aca="false">IF(Inputs!$C$13=2,D36,C36)</f>
        <v>2434258.09128607</v>
      </c>
      <c r="H36" s="6" t="n">
        <f aca="false">G36*Inputs!$C$6</f>
        <v>861684.276506143</v>
      </c>
      <c r="I36" s="13" t="n">
        <f aca="false">IF(B36&lt;Inputs!$C$9,Inputs!$C$9,EOMONTH(Inputs!$C$9,3*(INT(((YEAR(B36)-YEAR(Inputs!$C$9))*12+MONTH(B36)-MONTH(Inputs!$C$9))/3)+1)))</f>
        <v>47208</v>
      </c>
    </row>
    <row r="37" customFormat="false" ht="15" hidden="false" customHeight="false" outlineLevel="0" collapsed="false">
      <c r="B37" s="15" t="n">
        <f aca="false">EOMONTH(B36,1)</f>
        <v>47177</v>
      </c>
      <c r="C37" s="10" t="n">
        <f aca="false">SUMIFS('SSP CF'!$E$6:$E$77,'SSP CF'!$B$6:$B$77,B37)</f>
        <v>2384317.34909393</v>
      </c>
      <c r="D37" s="10" t="n">
        <f aca="false">SUMIFS('KKR CF'!$C$6:$C$400,'KKR CF'!$B$6:$B$400,B37)</f>
        <v>2384317.34909392</v>
      </c>
      <c r="E37" s="10" t="n">
        <f aca="false">D37-C37</f>
        <v>0</v>
      </c>
      <c r="F37" s="10" t="n">
        <f aca="false">SUM(E$6:E37)</f>
        <v>0</v>
      </c>
      <c r="G37" s="10" t="n">
        <f aca="false">IF(Inputs!$C$13=2,D37,C37)</f>
        <v>2384317.34909393</v>
      </c>
      <c r="H37" s="10" t="n">
        <f aca="false">G37*Inputs!$C$6</f>
        <v>844006.137750823</v>
      </c>
      <c r="I37" s="15" t="n">
        <f aca="false">IF(B37&lt;Inputs!$C$9,Inputs!$C$9,EOMONTH(Inputs!$C$9,3*(INT(((YEAR(B37)-YEAR(Inputs!$C$9))*12+MONTH(B37)-MONTH(Inputs!$C$9))/3)+1)))</f>
        <v>47208</v>
      </c>
    </row>
    <row r="38" customFormat="false" ht="15" hidden="false" customHeight="false" outlineLevel="0" collapsed="false">
      <c r="B38" s="13" t="n">
        <f aca="false">EOMONTH(B37,1)</f>
        <v>47208</v>
      </c>
      <c r="C38" s="6" t="n">
        <f aca="false">SUMIFS('SSP CF'!$E$6:$E$77,'SSP CF'!$B$6:$B$77,B38)</f>
        <v>2505302.64895725</v>
      </c>
      <c r="D38" s="6" t="n">
        <f aca="false">SUMIFS('KKR CF'!$C$6:$C$400,'KKR CF'!$B$6:$B$400,B38)</f>
        <v>2505302.64895725</v>
      </c>
      <c r="E38" s="6" t="n">
        <f aca="false">D38-C38</f>
        <v>0</v>
      </c>
      <c r="F38" s="6" t="n">
        <f aca="false">SUM(E$6:E38)</f>
        <v>0</v>
      </c>
      <c r="G38" s="6" t="n">
        <f aca="false">IF(Inputs!$C$13=2,D38,C38)</f>
        <v>2505302.64895725</v>
      </c>
      <c r="H38" s="6" t="n">
        <f aca="false">G38*Inputs!$C$6</f>
        <v>886832.792391018</v>
      </c>
      <c r="I38" s="13" t="n">
        <f aca="false">IF(B38&lt;Inputs!$C$9,Inputs!$C$9,EOMONTH(Inputs!$C$9,3*(INT(((YEAR(B38)-YEAR(Inputs!$C$9))*12+MONTH(B38)-MONTH(Inputs!$C$9))/3)+1)))</f>
        <v>47299</v>
      </c>
    </row>
    <row r="39" customFormat="false" ht="15" hidden="false" customHeight="false" outlineLevel="0" collapsed="false">
      <c r="B39" s="15" t="n">
        <f aca="false">EOMONTH(B38,1)</f>
        <v>47238</v>
      </c>
      <c r="C39" s="10" t="n">
        <f aca="false">SUMIFS('SSP CF'!$E$6:$E$77,'SSP CF'!$B$6:$B$77,B39)</f>
        <v>2336981.39466612</v>
      </c>
      <c r="D39" s="10" t="n">
        <f aca="false">SUMIFS('KKR CF'!$C$6:$C$400,'KKR CF'!$B$6:$B$400,B39)</f>
        <v>2336981.39466612</v>
      </c>
      <c r="E39" s="10" t="n">
        <f aca="false">D39-C39</f>
        <v>0</v>
      </c>
      <c r="F39" s="10" t="n">
        <f aca="false">SUM(E$6:E39)</f>
        <v>0</v>
      </c>
      <c r="G39" s="10" t="n">
        <f aca="false">IF(Inputs!$C$13=2,D39,C39)</f>
        <v>2336981.39466612</v>
      </c>
      <c r="H39" s="10" t="n">
        <f aca="false">G39*Inputs!$C$6</f>
        <v>827250.047757792</v>
      </c>
      <c r="I39" s="15" t="n">
        <f aca="false">IF(B39&lt;Inputs!$C$9,Inputs!$C$9,EOMONTH(Inputs!$C$9,3*(INT(((YEAR(B39)-YEAR(Inputs!$C$9))*12+MONTH(B39)-MONTH(Inputs!$C$9))/3)+1)))</f>
        <v>47299</v>
      </c>
    </row>
    <row r="40" customFormat="false" ht="15" hidden="false" customHeight="false" outlineLevel="0" collapsed="false">
      <c r="B40" s="13" t="n">
        <f aca="false">EOMONTH(B39,1)</f>
        <v>47269</v>
      </c>
      <c r="C40" s="6" t="n">
        <f aca="false">SUMIFS('SSP CF'!$E$6:$E$77,'SSP CF'!$B$6:$B$77,B40)</f>
        <v>2158682.71283117</v>
      </c>
      <c r="D40" s="6" t="n">
        <f aca="false">SUMIFS('KKR CF'!$C$6:$C$400,'KKR CF'!$B$6:$B$400,B40)</f>
        <v>2158682.71283117</v>
      </c>
      <c r="E40" s="6" t="n">
        <f aca="false">D40-C40</f>
        <v>0</v>
      </c>
      <c r="F40" s="6" t="n">
        <f aca="false">SUM(E$6:E40)</f>
        <v>0</v>
      </c>
      <c r="G40" s="6" t="n">
        <f aca="false">IF(Inputs!$C$13=2,D40,C40)</f>
        <v>2158682.71283117</v>
      </c>
      <c r="H40" s="6" t="n">
        <f aca="false">G40*Inputs!$C$6</f>
        <v>764135.47038043</v>
      </c>
      <c r="I40" s="13" t="n">
        <f aca="false">IF(B40&lt;Inputs!$C$9,Inputs!$C$9,EOMONTH(Inputs!$C$9,3*(INT(((YEAR(B40)-YEAR(Inputs!$C$9))*12+MONTH(B40)-MONTH(Inputs!$C$9))/3)+1)))</f>
        <v>47299</v>
      </c>
    </row>
    <row r="41" customFormat="false" ht="15" hidden="false" customHeight="false" outlineLevel="0" collapsed="false">
      <c r="B41" s="15" t="n">
        <f aca="false">EOMONTH(B40,1)</f>
        <v>47299</v>
      </c>
      <c r="C41" s="10" t="n">
        <f aca="false">SUMIFS('SSP CF'!$E$6:$E$77,'SSP CF'!$B$6:$B$77,B41)</f>
        <v>65068934.9134019</v>
      </c>
      <c r="D41" s="10" t="n">
        <f aca="false">SUMIFS('KKR CF'!$C$6:$C$400,'KKR CF'!$B$6:$B$400,B41)</f>
        <v>65068934.9134019</v>
      </c>
      <c r="E41" s="10" t="n">
        <f aca="false">D41-C41</f>
        <v>0</v>
      </c>
      <c r="F41" s="10" t="n">
        <f aca="false">SUM(E$6:E41)</f>
        <v>0</v>
      </c>
      <c r="G41" s="10" t="n">
        <f aca="false">IF(Inputs!$C$13=2,D41,C41)</f>
        <v>65068934.9134019</v>
      </c>
      <c r="H41" s="10" t="n">
        <f aca="false">G41*Inputs!$C$6</f>
        <v>23033251.2006801</v>
      </c>
      <c r="I41" s="15" t="n">
        <f aca="false">IF(B41&lt;Inputs!$C$9,Inputs!$C$9,EOMONTH(Inputs!$C$9,3*(INT(((YEAR(B41)-YEAR(Inputs!$C$9))*12+MONTH(B41)-MONTH(Inputs!$C$9))/3)+1)))</f>
        <v>47391</v>
      </c>
    </row>
    <row r="42" customFormat="false" ht="15" hidden="false" customHeight="false" outlineLevel="0" collapsed="false">
      <c r="B42" s="13" t="n">
        <f aca="false">EOMONTH(B41,1)</f>
        <v>47330</v>
      </c>
      <c r="C42" s="6" t="n">
        <f aca="false">SUMIFS('SSP CF'!$E$6:$E$77,'SSP CF'!$B$6:$B$77,B42)</f>
        <v>27511828.8989867</v>
      </c>
      <c r="D42" s="6" t="n">
        <f aca="false">SUMIFS('KKR CF'!$C$6:$C$400,'KKR CF'!$B$6:$B$400,B42)</f>
        <v>27511828.8989867</v>
      </c>
      <c r="E42" s="6" t="n">
        <f aca="false">D42-C42</f>
        <v>0</v>
      </c>
      <c r="F42" s="6" t="n">
        <f aca="false">SUM(E$6:E42)</f>
        <v>0</v>
      </c>
      <c r="G42" s="6" t="n">
        <f aca="false">IF(Inputs!$C$13=2,D42,C42)</f>
        <v>27511828.8989867</v>
      </c>
      <c r="H42" s="6" t="n">
        <f aca="false">G42*Inputs!$C$6</f>
        <v>9738700.45458471</v>
      </c>
      <c r="I42" s="13" t="n">
        <f aca="false">IF(B42&lt;Inputs!$C$9,Inputs!$C$9,EOMONTH(Inputs!$C$9,3*(INT(((YEAR(B42)-YEAR(Inputs!$C$9))*12+MONTH(B42)-MONTH(Inputs!$C$9))/3)+1)))</f>
        <v>47391</v>
      </c>
    </row>
    <row r="43" customFormat="false" ht="15" hidden="false" customHeight="false" outlineLevel="0" collapsed="false">
      <c r="B43" s="15" t="n">
        <f aca="false">EOMONTH(B42,1)</f>
        <v>47361</v>
      </c>
      <c r="C43" s="10" t="n">
        <f aca="false">SUMIFS('SSP CF'!$E$6:$E$77,'SSP CF'!$B$6:$B$77,B43)</f>
        <v>24819687.661879</v>
      </c>
      <c r="D43" s="10" t="n">
        <f aca="false">SUMIFS('KKR CF'!$C$6:$C$400,'KKR CF'!$B$6:$B$400,B43)</f>
        <v>24819687.661879</v>
      </c>
      <c r="E43" s="10" t="n">
        <f aca="false">D43-C43</f>
        <v>0</v>
      </c>
      <c r="F43" s="10" t="n">
        <f aca="false">SUM(E$6:E43)</f>
        <v>0</v>
      </c>
      <c r="G43" s="10" t="n">
        <f aca="false">IF(Inputs!$C$13=2,D43,C43)</f>
        <v>24819687.661879</v>
      </c>
      <c r="H43" s="10" t="n">
        <f aca="false">G43*Inputs!$C$6</f>
        <v>8785730.10914205</v>
      </c>
      <c r="I43" s="15" t="n">
        <f aca="false">IF(B43&lt;Inputs!$C$9,Inputs!$C$9,EOMONTH(Inputs!$C$9,3*(INT(((YEAR(B43)-YEAR(Inputs!$C$9))*12+MONTH(B43)-MONTH(Inputs!$C$9))/3)+1)))</f>
        <v>47391</v>
      </c>
    </row>
    <row r="44" customFormat="false" ht="15" hidden="false" customHeight="false" outlineLevel="0" collapsed="false">
      <c r="B44" s="13" t="n">
        <f aca="false">EOMONTH(B43,1)</f>
        <v>47391</v>
      </c>
      <c r="C44" s="6" t="n">
        <f aca="false">SUMIFS('SSP CF'!$E$6:$E$77,'SSP CF'!$B$6:$B$77,B44)</f>
        <v>1834322.98225193</v>
      </c>
      <c r="D44" s="6" t="n">
        <f aca="false">SUMIFS('KKR CF'!$C$6:$C$400,'KKR CF'!$B$6:$B$400,B44)</f>
        <v>1834322.98225193</v>
      </c>
      <c r="E44" s="6" t="n">
        <f aca="false">D44-C44</f>
        <v>0</v>
      </c>
      <c r="F44" s="6" t="n">
        <f aca="false">SUM(E$6:E44)</f>
        <v>0</v>
      </c>
      <c r="G44" s="6" t="n">
        <f aca="false">IF(Inputs!$C$13=2,D44,C44)</f>
        <v>1834322.98225193</v>
      </c>
      <c r="H44" s="6" t="n">
        <f aca="false">G44*Inputs!$C$6</f>
        <v>649317.867114607</v>
      </c>
      <c r="I44" s="13" t="n">
        <f aca="false">IF(B44&lt;Inputs!$C$9,Inputs!$C$9,EOMONTH(Inputs!$C$9,3*(INT(((YEAR(B44)-YEAR(Inputs!$C$9))*12+MONTH(B44)-MONTH(Inputs!$C$9))/3)+1)))</f>
        <v>47483</v>
      </c>
    </row>
    <row r="45" customFormat="false" ht="15" hidden="false" customHeight="false" outlineLevel="0" collapsed="false">
      <c r="B45" s="15" t="n">
        <f aca="false">EOMONTH(B44,1)</f>
        <v>47422</v>
      </c>
      <c r="C45" s="10" t="n">
        <f aca="false">SUMIFS('SSP CF'!$E$6:$E$77,'SSP CF'!$B$6:$B$77,B45)</f>
        <v>11011430.1472439</v>
      </c>
      <c r="D45" s="10" t="n">
        <f aca="false">SUMIFS('KKR CF'!$C$6:$C$400,'KKR CF'!$B$6:$B$400,B45)</f>
        <v>11011430.1472439</v>
      </c>
      <c r="E45" s="10" t="n">
        <f aca="false">D45-C45</f>
        <v>0</v>
      </c>
      <c r="F45" s="10" t="n">
        <f aca="false">SUM(E$6:E45)</f>
        <v>0</v>
      </c>
      <c r="G45" s="10" t="n">
        <f aca="false">IF(Inputs!$C$13=2,D45,C45)</f>
        <v>11011430.1472439</v>
      </c>
      <c r="H45" s="10" t="n">
        <f aca="false">G45*Inputs!$C$6</f>
        <v>3897851.36329276</v>
      </c>
      <c r="I45" s="15" t="n">
        <f aca="false">IF(B45&lt;Inputs!$C$9,Inputs!$C$9,EOMONTH(Inputs!$C$9,3*(INT(((YEAR(B45)-YEAR(Inputs!$C$9))*12+MONTH(B45)-MONTH(Inputs!$C$9))/3)+1)))</f>
        <v>47483</v>
      </c>
    </row>
    <row r="46" customFormat="false" ht="15" hidden="false" customHeight="false" outlineLevel="0" collapsed="false">
      <c r="B46" s="13" t="n">
        <f aca="false">EOMONTH(B45,1)</f>
        <v>47452</v>
      </c>
      <c r="C46" s="6" t="n">
        <f aca="false">SUMIFS('SSP CF'!$E$6:$E$77,'SSP CF'!$B$6:$B$77,B46)</f>
        <v>32281883.2475834</v>
      </c>
      <c r="D46" s="6" t="n">
        <f aca="false">SUMIFS('KKR CF'!$C$6:$C$400,'KKR CF'!$B$6:$B$400,B46)</f>
        <v>32281883.2475834</v>
      </c>
      <c r="E46" s="6" t="n">
        <f aca="false">D46-C46</f>
        <v>0</v>
      </c>
      <c r="F46" s="6" t="n">
        <f aca="false">SUM(E$6:E46)</f>
        <v>0</v>
      </c>
      <c r="G46" s="6" t="n">
        <f aca="false">IF(Inputs!$C$13=2,D46,C46)</f>
        <v>32281883.2475834</v>
      </c>
      <c r="H46" s="6" t="n">
        <f aca="false">G46*Inputs!$C$6</f>
        <v>11427215.2612024</v>
      </c>
      <c r="I46" s="13" t="n">
        <f aca="false">IF(B46&lt;Inputs!$C$9,Inputs!$C$9,EOMONTH(Inputs!$C$9,3*(INT(((YEAR(B46)-YEAR(Inputs!$C$9))*12+MONTH(B46)-MONTH(Inputs!$C$9))/3)+1)))</f>
        <v>47483</v>
      </c>
    </row>
    <row r="47" customFormat="false" ht="15" hidden="false" customHeight="false" outlineLevel="0" collapsed="false">
      <c r="B47" s="15" t="n">
        <f aca="false">EOMONTH(B46,1)</f>
        <v>47483</v>
      </c>
      <c r="C47" s="10" t="n">
        <f aca="false">SUMIFS('SSP CF'!$E$6:$E$77,'SSP CF'!$B$6:$B$77,B47)</f>
        <v>1619107.84194502</v>
      </c>
      <c r="D47" s="10" t="n">
        <f aca="false">SUMIFS('KKR CF'!$C$6:$C$400,'KKR CF'!$B$6:$B$400,B47)</f>
        <v>1619107.84194502</v>
      </c>
      <c r="E47" s="10" t="n">
        <f aca="false">D47-C47</f>
        <v>0</v>
      </c>
      <c r="F47" s="10" t="n">
        <f aca="false">SUM(E$6:E47)</f>
        <v>0</v>
      </c>
      <c r="G47" s="10" t="n">
        <f aca="false">IF(Inputs!$C$13=2,D47,C47)</f>
        <v>1619107.84194502</v>
      </c>
      <c r="H47" s="10" t="n">
        <f aca="false">G47*Inputs!$C$6</f>
        <v>573135.516881335</v>
      </c>
      <c r="I47" s="15" t="n">
        <f aca="false">IF(B47&lt;Inputs!$C$9,Inputs!$C$9,EOMONTH(Inputs!$C$9,3*(INT(((YEAR(B47)-YEAR(Inputs!$C$9))*12+MONTH(B47)-MONTH(Inputs!$C$9))/3)+1)))</f>
        <v>47573</v>
      </c>
    </row>
    <row r="48" customFormat="false" ht="15" hidden="false" customHeight="false" outlineLevel="0" collapsed="false">
      <c r="B48" s="13" t="n">
        <f aca="false">EOMONTH(B47,1)</f>
        <v>47514</v>
      </c>
      <c r="C48" s="6" t="n">
        <f aca="false">SUMIFS('SSP CF'!$E$6:$E$77,'SSP CF'!$B$6:$B$77,B48)</f>
        <v>1584632.69517906</v>
      </c>
      <c r="D48" s="6" t="n">
        <f aca="false">SUMIFS('KKR CF'!$C$6:$C$400,'KKR CF'!$B$6:$B$400,B48)</f>
        <v>1584632.69517906</v>
      </c>
      <c r="E48" s="6" t="n">
        <f aca="false">D48-C48</f>
        <v>0</v>
      </c>
      <c r="F48" s="6" t="n">
        <f aca="false">SUM(E$6:E48)</f>
        <v>0</v>
      </c>
      <c r="G48" s="6" t="n">
        <f aca="false">IF(Inputs!$C$13=2,D48,C48)</f>
        <v>1584632.69517906</v>
      </c>
      <c r="H48" s="6" t="n">
        <f aca="false">G48*Inputs!$C$6</f>
        <v>560931.925156692</v>
      </c>
      <c r="I48" s="13" t="n">
        <f aca="false">IF(B48&lt;Inputs!$C$9,Inputs!$C$9,EOMONTH(Inputs!$C$9,3*(INT(((YEAR(B48)-YEAR(Inputs!$C$9))*12+MONTH(B48)-MONTH(Inputs!$C$9))/3)+1)))</f>
        <v>47573</v>
      </c>
    </row>
    <row r="49" customFormat="false" ht="15" hidden="false" customHeight="false" outlineLevel="0" collapsed="false">
      <c r="B49" s="15" t="n">
        <f aca="false">EOMONTH(B48,1)</f>
        <v>47542</v>
      </c>
      <c r="C49" s="10" t="n">
        <f aca="false">SUMIFS('SSP CF'!$E$6:$E$77,'SSP CF'!$B$6:$B$77,B49)</f>
        <v>9826770.93699762</v>
      </c>
      <c r="D49" s="10" t="n">
        <f aca="false">SUMIFS('KKR CF'!$C$6:$C$400,'KKR CF'!$B$6:$B$400,B49)</f>
        <v>9826770.93699762</v>
      </c>
      <c r="E49" s="10" t="n">
        <f aca="false">D49-C49</f>
        <v>0</v>
      </c>
      <c r="F49" s="10" t="n">
        <f aca="false">SUM(E$6:E49)</f>
        <v>0</v>
      </c>
      <c r="G49" s="10" t="n">
        <f aca="false">IF(Inputs!$C$13=2,D49,C49)</f>
        <v>9826770.93699762</v>
      </c>
      <c r="H49" s="10" t="n">
        <f aca="false">G49*Inputs!$C$6</f>
        <v>3478502.97203482</v>
      </c>
      <c r="I49" s="15" t="n">
        <f aca="false">IF(B49&lt;Inputs!$C$9,Inputs!$C$9,EOMONTH(Inputs!$C$9,3*(INT(((YEAR(B49)-YEAR(Inputs!$C$9))*12+MONTH(B49)-MONTH(Inputs!$C$9))/3)+1)))</f>
        <v>47573</v>
      </c>
    </row>
    <row r="50" customFormat="false" ht="15" hidden="false" customHeight="false" outlineLevel="0" collapsed="false">
      <c r="B50" s="13" t="n">
        <f aca="false">EOMONTH(B49,1)</f>
        <v>47573</v>
      </c>
      <c r="C50" s="6" t="n">
        <f aca="false">SUMIFS('SSP CF'!$E$6:$E$77,'SSP CF'!$B$6:$B$77,B50)</f>
        <v>22884386.3885103</v>
      </c>
      <c r="D50" s="6" t="n">
        <f aca="false">SUMIFS('KKR CF'!$C$6:$C$400,'KKR CF'!$B$6:$B$400,B50)</f>
        <v>22884386.3885103</v>
      </c>
      <c r="E50" s="6" t="n">
        <f aca="false">D50-C50</f>
        <v>0</v>
      </c>
      <c r="F50" s="6" t="n">
        <f aca="false">SUM(E$6:E50)</f>
        <v>0</v>
      </c>
      <c r="G50" s="6" t="n">
        <f aca="false">IF(Inputs!$C$13=2,D50,C50)</f>
        <v>22884386.3885103</v>
      </c>
      <c r="H50" s="6" t="n">
        <f aca="false">G50*Inputs!$C$6</f>
        <v>8100667.71434761</v>
      </c>
      <c r="I50" s="13" t="n">
        <f aca="false">IF(B50&lt;Inputs!$C$9,Inputs!$C$9,EOMONTH(Inputs!$C$9,3*(INT(((YEAR(B50)-YEAR(Inputs!$C$9))*12+MONTH(B50)-MONTH(Inputs!$C$9))/3)+1)))</f>
        <v>47664</v>
      </c>
    </row>
    <row r="51" customFormat="false" ht="15" hidden="false" customHeight="false" outlineLevel="0" collapsed="false">
      <c r="B51" s="15" t="n">
        <f aca="false">EOMONTH(B50,1)</f>
        <v>47603</v>
      </c>
      <c r="C51" s="10" t="n">
        <f aca="false">SUMIFS('SSP CF'!$E$6:$E$77,'SSP CF'!$B$6:$B$77,B51)</f>
        <v>1499221.5608352</v>
      </c>
      <c r="D51" s="10" t="n">
        <f aca="false">SUMIFS('KKR CF'!$C$6:$C$400,'KKR CF'!$B$6:$B$400,B51)</f>
        <v>1499221.56083518</v>
      </c>
      <c r="E51" s="10" t="n">
        <f aca="false">D51-C51</f>
        <v>-1.67638063430786E-008</v>
      </c>
      <c r="F51" s="10" t="n">
        <f aca="false">SUM(E$6:E51)</f>
        <v>-1.67638063430786E-008</v>
      </c>
      <c r="G51" s="10" t="n">
        <f aca="false">IF(Inputs!$C$13=2,D51,C51)</f>
        <v>1499221.5608352</v>
      </c>
      <c r="H51" s="10" t="n">
        <f aca="false">G51*Inputs!$C$6</f>
        <v>530697.8954266</v>
      </c>
      <c r="I51" s="15" t="n">
        <f aca="false">IF(B51&lt;Inputs!$C$9,Inputs!$C$9,EOMONTH(Inputs!$C$9,3*(INT(((YEAR(B51)-YEAR(Inputs!$C$9))*12+MONTH(B51)-MONTH(Inputs!$C$9))/3)+1)))</f>
        <v>47664</v>
      </c>
    </row>
    <row r="52" customFormat="false" ht="15" hidden="false" customHeight="false" outlineLevel="0" collapsed="false">
      <c r="B52" s="13" t="n">
        <f aca="false">EOMONTH(B51,1)</f>
        <v>47634</v>
      </c>
      <c r="C52" s="6" t="n">
        <f aca="false">SUMIFS('SSP CF'!$E$6:$E$77,'SSP CF'!$B$6:$B$77,B52)</f>
        <v>1404639.33986494</v>
      </c>
      <c r="D52" s="6" t="n">
        <f aca="false">SUMIFS('KKR CF'!$C$6:$C$400,'KKR CF'!$B$6:$B$400,B52)</f>
        <v>1437105.9206329</v>
      </c>
      <c r="E52" s="6" t="n">
        <f aca="false">D52-C52</f>
        <v>32466.5807679619</v>
      </c>
      <c r="F52" s="6" t="n">
        <f aca="false">SUM(E$6:E52)</f>
        <v>32466.5807679452</v>
      </c>
      <c r="G52" s="6" t="n">
        <f aca="false">IF(Inputs!$C$13=2,D52,C52)</f>
        <v>1404639.33986494</v>
      </c>
      <c r="H52" s="6" t="n">
        <f aca="false">G52*Inputs!$C$6</f>
        <v>497217.463364425</v>
      </c>
      <c r="I52" s="13" t="n">
        <f aca="false">IF(B52&lt;Inputs!$C$9,Inputs!$C$9,EOMONTH(Inputs!$C$9,3*(INT(((YEAR(B52)-YEAR(Inputs!$C$9))*12+MONTH(B52)-MONTH(Inputs!$C$9))/3)+1)))</f>
        <v>47664</v>
      </c>
    </row>
    <row r="53" customFormat="false" ht="15" hidden="false" customHeight="false" outlineLevel="0" collapsed="false">
      <c r="B53" s="15" t="n">
        <f aca="false">EOMONTH(B52,1)</f>
        <v>47664</v>
      </c>
      <c r="C53" s="10" t="n">
        <f aca="false">SUMIFS('SSP CF'!$E$6:$E$77,'SSP CF'!$B$6:$B$77,B53)</f>
        <v>1445477.42936061</v>
      </c>
      <c r="D53" s="10" t="n">
        <f aca="false">SUMIFS('KKR CF'!$C$6:$C$400,'KKR CF'!$B$6:$B$400,B53)</f>
        <v>1479026.22948751</v>
      </c>
      <c r="E53" s="10" t="n">
        <f aca="false">D53-C53</f>
        <v>33548.8001268958</v>
      </c>
      <c r="F53" s="10" t="n">
        <f aca="false">SUM(E$6:E53)</f>
        <v>66015.3808948409</v>
      </c>
      <c r="G53" s="10" t="n">
        <f aca="false">IF(Inputs!$C$13=2,D53,C53)</f>
        <v>1445477.42936061</v>
      </c>
      <c r="H53" s="10" t="n">
        <f aca="false">G53*Inputs!$C$6</f>
        <v>511673.424187537</v>
      </c>
      <c r="I53" s="15" t="n">
        <f aca="false">IF(B53&lt;Inputs!$C$9,Inputs!$C$9,EOMONTH(Inputs!$C$9,3*(INT(((YEAR(B53)-YEAR(Inputs!$C$9))*12+MONTH(B53)-MONTH(Inputs!$C$9))/3)+1)))</f>
        <v>47756</v>
      </c>
    </row>
    <row r="54" customFormat="false" ht="15" hidden="false" customHeight="false" outlineLevel="0" collapsed="false">
      <c r="B54" s="13" t="n">
        <f aca="false">EOMONTH(B53,1)</f>
        <v>47695</v>
      </c>
      <c r="C54" s="6" t="n">
        <f aca="false">SUMIFS('SSP CF'!$E$6:$E$77,'SSP CF'!$B$6:$B$77,B54)</f>
        <v>1457796.05096153</v>
      </c>
      <c r="D54" s="6" t="n">
        <f aca="false">SUMIFS('KKR CF'!$C$6:$C$400,'KKR CF'!$B$6:$B$400,B54)</f>
        <v>1490262.6317295</v>
      </c>
      <c r="E54" s="6" t="n">
        <f aca="false">D54-C54</f>
        <v>32466.580767968</v>
      </c>
      <c r="F54" s="6" t="n">
        <f aca="false">SUM(E$6:E54)</f>
        <v>98481.9616628089</v>
      </c>
      <c r="G54" s="6" t="n">
        <f aca="false">IF(Inputs!$C$13=2,D54,C54)</f>
        <v>1457796.05096153</v>
      </c>
      <c r="H54" s="6" t="n">
        <f aca="false">G54*Inputs!$C$6</f>
        <v>516033.998187368</v>
      </c>
      <c r="I54" s="13" t="n">
        <f aca="false">IF(B54&lt;Inputs!$C$9,Inputs!$C$9,EOMONTH(Inputs!$C$9,3*(INT(((YEAR(B54)-YEAR(Inputs!$C$9))*12+MONTH(B54)-MONTH(Inputs!$C$9))/3)+1)))</f>
        <v>47756</v>
      </c>
    </row>
    <row r="55" customFormat="false" ht="15" hidden="false" customHeight="false" outlineLevel="0" collapsed="false">
      <c r="B55" s="15" t="n">
        <f aca="false">EOMONTH(B54,1)</f>
        <v>47726</v>
      </c>
      <c r="C55" s="10" t="n">
        <f aca="false">SUMIFS('SSP CF'!$E$6:$E$77,'SSP CF'!$B$6:$B$77,B55)</f>
        <v>10046991.480177</v>
      </c>
      <c r="D55" s="10" t="n">
        <f aca="false">SUMIFS('KKR CF'!$C$6:$C$400,'KKR CF'!$B$6:$B$400,B55)</f>
        <v>10080540.2803039</v>
      </c>
      <c r="E55" s="10" t="n">
        <f aca="false">D55-C55</f>
        <v>33548.8001268581</v>
      </c>
      <c r="F55" s="10" t="n">
        <f aca="false">SUM(E$6:E55)</f>
        <v>132030.761789667</v>
      </c>
      <c r="G55" s="10" t="n">
        <f aca="false">IF(Inputs!$C$13=2,D55,C55)</f>
        <v>10046991.480177</v>
      </c>
      <c r="H55" s="10" t="n">
        <f aca="false">G55*Inputs!$C$6</f>
        <v>3556457.14628636</v>
      </c>
      <c r="I55" s="15" t="n">
        <f aca="false">IF(B55&lt;Inputs!$C$9,Inputs!$C$9,EOMONTH(Inputs!$C$9,3*(INT(((YEAR(B55)-YEAR(Inputs!$C$9))*12+MONTH(B55)-MONTH(Inputs!$C$9))/3)+1)))</f>
        <v>47756</v>
      </c>
    </row>
    <row r="56" customFormat="false" ht="15" hidden="false" customHeight="false" outlineLevel="0" collapsed="false">
      <c r="B56" s="13" t="n">
        <f aca="false">EOMONTH(B55,1)</f>
        <v>47756</v>
      </c>
      <c r="C56" s="6" t="n">
        <f aca="false">SUMIFS('SSP CF'!$E$6:$E$77,'SSP CF'!$B$6:$B$77,B56)</f>
        <v>33603570.1781528</v>
      </c>
      <c r="D56" s="6" t="n">
        <f aca="false">SUMIFS('KKR CF'!$C$6:$C$400,'KKR CF'!$B$6:$B$400,B56)</f>
        <v>33637231.4675878</v>
      </c>
      <c r="E56" s="6" t="n">
        <f aca="false">D56-C56</f>
        <v>33661.2894349545</v>
      </c>
      <c r="F56" s="6" t="n">
        <f aca="false">SUM(E$6:E56)</f>
        <v>165692.051224621</v>
      </c>
      <c r="G56" s="6" t="n">
        <f aca="false">IF(Inputs!$C$13=2,D56,C56)</f>
        <v>33603570.1781528</v>
      </c>
      <c r="H56" s="6" t="n">
        <f aca="false">G56*Inputs!$C$6</f>
        <v>11895069.039983</v>
      </c>
      <c r="I56" s="13" t="n">
        <f aca="false">IF(B56&lt;Inputs!$C$9,Inputs!$C$9,EOMONTH(Inputs!$C$9,3*(INT(((YEAR(B56)-YEAR(Inputs!$C$9))*12+MONTH(B56)-MONTH(Inputs!$C$9))/3)+1)))</f>
        <v>47848</v>
      </c>
    </row>
    <row r="57" customFormat="false" ht="15" hidden="false" customHeight="false" outlineLevel="0" collapsed="false">
      <c r="B57" s="15" t="n">
        <f aca="false">EOMONTH(B56,1)</f>
        <v>47787</v>
      </c>
      <c r="C57" s="10" t="n">
        <f aca="false">SUMIFS('SSP CF'!$E$6:$E$77,'SSP CF'!$B$6:$B$77,B57)</f>
        <v>111469825.956946</v>
      </c>
      <c r="D57" s="10" t="n">
        <f aca="false">SUMIFS('KKR CF'!$C$6:$C$400,'KKR CF'!$B$6:$B$400,B57)</f>
        <v>111502401.398334</v>
      </c>
      <c r="E57" s="10" t="n">
        <f aca="false">D57-C57</f>
        <v>32575.4413882643</v>
      </c>
      <c r="F57" s="10" t="n">
        <f aca="false">SUM(E$6:E57)</f>
        <v>198267.492612886</v>
      </c>
      <c r="G57" s="10" t="n">
        <f aca="false">IF(Inputs!$C$13=2,D57,C57)</f>
        <v>111469825.956946</v>
      </c>
      <c r="H57" s="10" t="n">
        <f aca="false">G57*Inputs!$C$6</f>
        <v>39458345.3068571</v>
      </c>
      <c r="I57" s="15" t="n">
        <f aca="false">IF(B57&lt;Inputs!$C$9,Inputs!$C$9,EOMONTH(Inputs!$C$9,3*(INT(((YEAR(B57)-YEAR(Inputs!$C$9))*12+MONTH(B57)-MONTH(Inputs!$C$9))/3)+1)))</f>
        <v>47848</v>
      </c>
    </row>
    <row r="58" customFormat="false" ht="15" hidden="false" customHeight="false" outlineLevel="0" collapsed="false">
      <c r="B58" s="13" t="n">
        <f aca="false">EOMONTH(B57,1)</f>
        <v>47817</v>
      </c>
      <c r="C58" s="6" t="n">
        <f aca="false">SUMIFS('SSP CF'!$E$6:$E$77,'SSP CF'!$B$6:$B$77,B58)</f>
        <v>11645988.7402053</v>
      </c>
      <c r="D58" s="6" t="n">
        <f aca="false">SUMIFS('KKR CF'!$C$6:$C$400,'KKR CF'!$B$6:$B$400,B58)</f>
        <v>11679817.0516118</v>
      </c>
      <c r="E58" s="6" t="n">
        <f aca="false">D58-C58</f>
        <v>33828.3114065211</v>
      </c>
      <c r="F58" s="6" t="n">
        <f aca="false">SUM(E$6:E58)</f>
        <v>232095.804019407</v>
      </c>
      <c r="G58" s="6" t="n">
        <f aca="false">IF(Inputs!$C$13=2,D58,C58)</f>
        <v>11645988.7402053</v>
      </c>
      <c r="H58" s="6" t="n">
        <f aca="false">G58*Inputs!$C$6</f>
        <v>4122473.87313837</v>
      </c>
      <c r="I58" s="13" t="n">
        <f aca="false">IF(B58&lt;Inputs!$C$9,Inputs!$C$9,EOMONTH(Inputs!$C$9,3*(INT(((YEAR(B58)-YEAR(Inputs!$C$9))*12+MONTH(B58)-MONTH(Inputs!$C$9))/3)+1)))</f>
        <v>47848</v>
      </c>
    </row>
    <row r="59" customFormat="false" ht="15" hidden="false" customHeight="false" outlineLevel="0" collapsed="false">
      <c r="B59" s="15" t="n">
        <f aca="false">EOMONTH(B58,1)</f>
        <v>47848</v>
      </c>
      <c r="C59" s="10" t="n">
        <f aca="false">SUMIFS('SSP CF'!$E$6:$E$77,'SSP CF'!$B$6:$B$77,B59)</f>
        <v>9700047.91180609</v>
      </c>
      <c r="D59" s="10" t="n">
        <f aca="false">SUMIFS('KKR CF'!$C$6:$C$400,'KKR CF'!$B$6:$B$400,B59)</f>
        <v>9732887.80338378</v>
      </c>
      <c r="E59" s="10" t="n">
        <f aca="false">D59-C59</f>
        <v>32839.8915776946</v>
      </c>
      <c r="F59" s="10" t="n">
        <f aca="false">SUM(E$6:E59)</f>
        <v>264935.695597101</v>
      </c>
      <c r="G59" s="10" t="n">
        <f aca="false">IF(Inputs!$C$13=2,D59,C59)</f>
        <v>9700047.91180609</v>
      </c>
      <c r="H59" s="10" t="n">
        <f aca="false">G59*Inputs!$C$6</f>
        <v>3433645.26418957</v>
      </c>
      <c r="I59" s="15" t="n">
        <f aca="false">IF(B59&lt;Inputs!$C$9,Inputs!$C$9,EOMONTH(Inputs!$C$9,3*(INT(((YEAR(B59)-YEAR(Inputs!$C$9))*12+MONTH(B59)-MONTH(Inputs!$C$9))/3)+1)))</f>
        <v>47938</v>
      </c>
    </row>
    <row r="60" customFormat="false" ht="15" hidden="false" customHeight="false" outlineLevel="0" collapsed="false">
      <c r="B60" s="13" t="n">
        <f aca="false">EOMONTH(B59,1)</f>
        <v>47879</v>
      </c>
      <c r="C60" s="6" t="n">
        <f aca="false">SUMIFS('SSP CF'!$E$6:$E$77,'SSP CF'!$B$6:$B$77,B60)</f>
        <v>749793.788221651</v>
      </c>
      <c r="D60" s="6" t="n">
        <f aca="false">SUMIFS('KKR CF'!$C$6:$C$400,'KKR CF'!$B$6:$B$400,B60)</f>
        <v>782633.679799343</v>
      </c>
      <c r="E60" s="6" t="n">
        <f aca="false">D60-C60</f>
        <v>32839.891577692</v>
      </c>
      <c r="F60" s="6" t="n">
        <f aca="false">SUM(E$6:E60)</f>
        <v>297775.587174794</v>
      </c>
      <c r="G60" s="6" t="n">
        <f aca="false">IF(Inputs!$C$13=2,D60,C60)</f>
        <v>749793.788221651</v>
      </c>
      <c r="H60" s="6" t="n">
        <f aca="false">G60*Inputs!$C$6</f>
        <v>265413.729236588</v>
      </c>
      <c r="I60" s="13" t="n">
        <f aca="false">IF(B60&lt;Inputs!$C$9,Inputs!$C$9,EOMONTH(Inputs!$C$9,3*(INT(((YEAR(B60)-YEAR(Inputs!$C$9))*12+MONTH(B60)-MONTH(Inputs!$C$9))/3)+1)))</f>
        <v>47938</v>
      </c>
    </row>
    <row r="61" customFormat="false" ht="15" hidden="false" customHeight="false" outlineLevel="0" collapsed="false">
      <c r="B61" s="15" t="n">
        <f aca="false">EOMONTH(B60,1)</f>
        <v>47907</v>
      </c>
      <c r="C61" s="10" t="n">
        <f aca="false">SUMIFS('SSP CF'!$E$6:$E$77,'SSP CF'!$B$6:$B$77,B61)</f>
        <v>30267846.8027897</v>
      </c>
      <c r="D61" s="10" t="n">
        <f aca="false">SUMIFS('KKR CF'!$C$6:$C$400,'KKR CF'!$B$6:$B$400,B61)</f>
        <v>30300686.6943674</v>
      </c>
      <c r="E61" s="10" t="n">
        <f aca="false">D61-C61</f>
        <v>32839.8915777057</v>
      </c>
      <c r="F61" s="10" t="n">
        <f aca="false">SUM(E$6:E61)</f>
        <v>330615.478752499</v>
      </c>
      <c r="G61" s="10" t="n">
        <f aca="false">IF(Inputs!$C$13=2,D61,C61)</f>
        <v>30267846.8027897</v>
      </c>
      <c r="H61" s="10" t="n">
        <f aca="false">G61*Inputs!$C$6</f>
        <v>10714282.0093827</v>
      </c>
      <c r="I61" s="15" t="n">
        <f aca="false">IF(B61&lt;Inputs!$C$9,Inputs!$C$9,EOMONTH(Inputs!$C$9,3*(INT(((YEAR(B61)-YEAR(Inputs!$C$9))*12+MONTH(B61)-MONTH(Inputs!$C$9))/3)+1)))</f>
        <v>47938</v>
      </c>
    </row>
    <row r="62" customFormat="false" ht="15" hidden="false" customHeight="false" outlineLevel="0" collapsed="false">
      <c r="B62" s="13" t="n">
        <f aca="false">EOMONTH(B61,1)</f>
        <v>47938</v>
      </c>
      <c r="C62" s="6" t="n">
        <f aca="false">SUMIFS('SSP CF'!$E$6:$E$77,'SSP CF'!$B$6:$B$77,B62)</f>
        <v>48429262.6069445</v>
      </c>
      <c r="D62" s="6" t="n">
        <f aca="false">SUMIFS('KKR CF'!$C$6:$C$400,'KKR CF'!$B$6:$B$400,B62)</f>
        <v>48462102.4985222</v>
      </c>
      <c r="E62" s="6" t="n">
        <f aca="false">D62-C62</f>
        <v>32839.891577743</v>
      </c>
      <c r="F62" s="6" t="n">
        <f aca="false">SUM(E$6:E62)</f>
        <v>363455.370330242</v>
      </c>
      <c r="G62" s="6" t="n">
        <f aca="false">IF(Inputs!$C$13=2,D62,C62)</f>
        <v>48429262.6069445</v>
      </c>
      <c r="H62" s="6" t="n">
        <f aca="false">G62*Inputs!$C$6</f>
        <v>17143101.7362435</v>
      </c>
      <c r="I62" s="13" t="n">
        <f aca="false">IF(B62&lt;Inputs!$C$9,Inputs!$C$9,EOMONTH(Inputs!$C$9,3*(INT(((YEAR(B62)-YEAR(Inputs!$C$9))*12+MONTH(B62)-MONTH(Inputs!$C$9))/3)+1)))</f>
        <v>48029</v>
      </c>
    </row>
    <row r="63" customFormat="false" ht="15" hidden="false" customHeight="false" outlineLevel="0" collapsed="false">
      <c r="B63" s="15" t="n">
        <f aca="false">EOMONTH(B62,1)</f>
        <v>47968</v>
      </c>
      <c r="C63" s="10" t="n">
        <f aca="false">SUMIFS('SSP CF'!$E$6:$E$77,'SSP CF'!$B$6:$B$77,B63)</f>
        <v>551085.294883568</v>
      </c>
      <c r="D63" s="10" t="n">
        <f aca="false">SUMIFS('KKR CF'!$C$6:$C$400,'KKR CF'!$B$6:$B$400,B63)</f>
        <v>585075.560701791</v>
      </c>
      <c r="E63" s="10" t="n">
        <f aca="false">D63-C63</f>
        <v>33990.265818223</v>
      </c>
      <c r="F63" s="10" t="n">
        <f aca="false">SUM(E$6:E63)</f>
        <v>397445.636148465</v>
      </c>
      <c r="G63" s="10" t="n">
        <f aca="false">IF(Inputs!$C$13=2,D63,C63)</f>
        <v>551085.294883568</v>
      </c>
      <c r="H63" s="10" t="n">
        <f aca="false">G63*Inputs!$C$6</f>
        <v>195074.43985286</v>
      </c>
      <c r="I63" s="15" t="n">
        <f aca="false">IF(B63&lt;Inputs!$C$9,Inputs!$C$9,EOMONTH(Inputs!$C$9,3*(INT(((YEAR(B63)-YEAR(Inputs!$C$9))*12+MONTH(B63)-MONTH(Inputs!$C$9))/3)+1)))</f>
        <v>48029</v>
      </c>
    </row>
    <row r="64" customFormat="false" ht="15" hidden="false" customHeight="false" outlineLevel="0" collapsed="false">
      <c r="B64" s="13" t="n">
        <f aca="false">EOMONTH(B63,1)</f>
        <v>47999</v>
      </c>
      <c r="C64" s="6" t="n">
        <f aca="false">SUMIFS('SSP CF'!$E$6:$E$77,'SSP CF'!$B$6:$B$77,B64)</f>
        <v>33060814.7358529</v>
      </c>
      <c r="D64" s="6" t="n">
        <f aca="false">SUMIFS('KKR CF'!$C$6:$C$400,'KKR CF'!$B$6:$B$400,B64)</f>
        <v>33094127.3580266</v>
      </c>
      <c r="E64" s="6" t="n">
        <f aca="false">D64-C64</f>
        <v>33312.622173734</v>
      </c>
      <c r="F64" s="6" t="n">
        <f aca="false">SUM(E$6:E64)</f>
        <v>430758.258322199</v>
      </c>
      <c r="G64" s="6" t="n">
        <f aca="false">IF(Inputs!$C$13=2,D64,C64)</f>
        <v>33060814.7358529</v>
      </c>
      <c r="H64" s="6" t="n">
        <f aca="false">G64*Inputs!$C$6</f>
        <v>11702943.2205014</v>
      </c>
      <c r="I64" s="13" t="n">
        <f aca="false">IF(B64&lt;Inputs!$C$9,Inputs!$C$9,EOMONTH(Inputs!$C$9,3*(INT(((YEAR(B64)-YEAR(Inputs!$C$9))*12+MONTH(B64)-MONTH(Inputs!$C$9))/3)+1)))</f>
        <v>48029</v>
      </c>
    </row>
    <row r="65" customFormat="false" ht="15" hidden="false" customHeight="false" outlineLevel="0" collapsed="false">
      <c r="B65" s="15" t="n">
        <f aca="false">EOMONTH(B64,1)</f>
        <v>48029</v>
      </c>
      <c r="C65" s="10" t="n">
        <f aca="false">SUMIFS('SSP CF'!$E$6:$E$77,'SSP CF'!$B$6:$B$77,B65)</f>
        <v>15734045.2524648</v>
      </c>
      <c r="D65" s="10" t="n">
        <f aca="false">SUMIFS('KKR CF'!$C$6:$C$400,'KKR CF'!$B$6:$B$400,B65)</f>
        <v>15768592.062225</v>
      </c>
      <c r="E65" s="10" t="n">
        <f aca="false">D65-C65</f>
        <v>34546.8097601887</v>
      </c>
      <c r="F65" s="10" t="n">
        <f aca="false">SUM(E$6:E65)</f>
        <v>465305.068082388</v>
      </c>
      <c r="G65" s="10" t="n">
        <f aca="false">IF(Inputs!$C$13=2,D65,C65)</f>
        <v>15734045.2524648</v>
      </c>
      <c r="H65" s="10" t="n">
        <f aca="false">G65*Inputs!$C$6</f>
        <v>5569573.51745813</v>
      </c>
      <c r="I65" s="15" t="n">
        <f aca="false">IF(B65&lt;Inputs!$C$9,Inputs!$C$9,EOMONTH(Inputs!$C$9,3*(INT(((YEAR(B65)-YEAR(Inputs!$C$9))*12+MONTH(B65)-MONTH(Inputs!$C$9))/3)+1)))</f>
        <v>48121</v>
      </c>
    </row>
    <row r="66" customFormat="false" ht="15" hidden="false" customHeight="false" outlineLevel="0" collapsed="false">
      <c r="B66" s="13" t="n">
        <f aca="false">EOMONTH(B65,1)</f>
        <v>48060</v>
      </c>
      <c r="C66" s="6" t="n">
        <f aca="false">SUMIFS('SSP CF'!$E$6:$E$77,'SSP CF'!$B$6:$B$77,B66)</f>
        <v>12416300.8184968</v>
      </c>
      <c r="D66" s="6" t="n">
        <f aca="false">SUMIFS('KKR CF'!$C$6:$C$400,'KKR CF'!$B$6:$B$400,B66)</f>
        <v>12449733.2150388</v>
      </c>
      <c r="E66" s="6" t="n">
        <f aca="false">D66-C66</f>
        <v>33432.396542035</v>
      </c>
      <c r="F66" s="6" t="n">
        <f aca="false">SUM(E$6:E66)</f>
        <v>498737.464624423</v>
      </c>
      <c r="G66" s="6" t="n">
        <f aca="false">IF(Inputs!$C$13=2,D66,C66)</f>
        <v>12416300.8184968</v>
      </c>
      <c r="H66" s="6" t="n">
        <f aca="false">G66*Inputs!$C$6</f>
        <v>4395150.7138738</v>
      </c>
      <c r="I66" s="13" t="n">
        <f aca="false">IF(B66&lt;Inputs!$C$9,Inputs!$C$9,EOMONTH(Inputs!$C$9,3*(INT(((YEAR(B66)-YEAR(Inputs!$C$9))*12+MONTH(B66)-MONTH(Inputs!$C$9))/3)+1)))</f>
        <v>48121</v>
      </c>
    </row>
    <row r="67" customFormat="false" ht="15" hidden="false" customHeight="false" outlineLevel="0" collapsed="false">
      <c r="B67" s="15" t="n">
        <f aca="false">EOMONTH(B66,1)</f>
        <v>48091</v>
      </c>
      <c r="C67" s="10" t="n">
        <f aca="false">SUMIFS('SSP CF'!$E$6:$E$77,'SSP CF'!$B$6:$B$77,B67)</f>
        <v>273808.483116883</v>
      </c>
      <c r="D67" s="10" t="n">
        <f aca="false">SUMIFS('KKR CF'!$C$6:$C$400,'KKR CF'!$B$6:$B$400,B67)</f>
        <v>308355.292877034</v>
      </c>
      <c r="E67" s="10" t="n">
        <f aca="false">D67-C67</f>
        <v>34546.809760151</v>
      </c>
      <c r="F67" s="10" t="n">
        <f aca="false">SUM(E$6:E67)</f>
        <v>533284.274384574</v>
      </c>
      <c r="G67" s="10" t="n">
        <f aca="false">IF(Inputs!$C$13=2,D67,C67)</f>
        <v>273808.483116883</v>
      </c>
      <c r="H67" s="10" t="n">
        <f aca="false">G67*Inputs!$C$6</f>
        <v>96923.3564511502</v>
      </c>
      <c r="I67" s="15" t="n">
        <f aca="false">IF(B67&lt;Inputs!$C$9,Inputs!$C$9,EOMONTH(Inputs!$C$9,3*(INT(((YEAR(B67)-YEAR(Inputs!$C$9))*12+MONTH(B67)-MONTH(Inputs!$C$9))/3)+1)))</f>
        <v>48121</v>
      </c>
    </row>
    <row r="68" customFormat="false" ht="15" hidden="false" customHeight="false" outlineLevel="0" collapsed="false">
      <c r="B68" s="13" t="n">
        <f aca="false">EOMONTH(B67,1)</f>
        <v>48121</v>
      </c>
      <c r="C68" s="6" t="n">
        <f aca="false">SUMIFS('SSP CF'!$E$6:$E$77,'SSP CF'!$B$6:$B$77,B68)</f>
        <v>273808.483116883</v>
      </c>
      <c r="D68" s="6" t="n">
        <f aca="false">SUMIFS('KKR CF'!$C$6:$C$400,'KKR CF'!$B$6:$B$400,B68)</f>
        <v>308355.292877034</v>
      </c>
      <c r="E68" s="6" t="n">
        <f aca="false">D68-C68</f>
        <v>34546.809760151</v>
      </c>
      <c r="F68" s="6" t="n">
        <f aca="false">SUM(E$6:E68)</f>
        <v>567831.084144725</v>
      </c>
      <c r="G68" s="6" t="n">
        <f aca="false">IF(Inputs!$C$13=2,D68,C68)</f>
        <v>273808.483116883</v>
      </c>
      <c r="H68" s="6" t="n">
        <f aca="false">G68*Inputs!$C$6</f>
        <v>96923.3564511502</v>
      </c>
      <c r="I68" s="13" t="n">
        <f aca="false">IF(B68&lt;Inputs!$C$9,Inputs!$C$9,EOMONTH(Inputs!$C$9,3*(INT(((YEAR(B68)-YEAR(Inputs!$C$9))*12+MONTH(B68)-MONTH(Inputs!$C$9))/3)+1)))</f>
        <v>48213</v>
      </c>
    </row>
    <row r="69" customFormat="false" ht="15" hidden="false" customHeight="false" outlineLevel="0" collapsed="false">
      <c r="B69" s="15" t="n">
        <f aca="false">EOMONTH(B68,1)</f>
        <v>48152</v>
      </c>
      <c r="C69" s="10" t="n">
        <f aca="false">SUMIFS('SSP CF'!$E$6:$E$77,'SSP CF'!$B$6:$B$77,B69)</f>
        <v>264975.951403434</v>
      </c>
      <c r="D69" s="10" t="n">
        <f aca="false">SUMIFS('KKR CF'!$C$6:$C$400,'KKR CF'!$B$6:$B$400,B69)</f>
        <v>298408.347945516</v>
      </c>
      <c r="E69" s="10" t="n">
        <f aca="false">D69-C69</f>
        <v>33432.396542082</v>
      </c>
      <c r="F69" s="10" t="n">
        <f aca="false">SUM(E$6:E69)</f>
        <v>601263.480686807</v>
      </c>
      <c r="G69" s="10" t="n">
        <f aca="false">IF(Inputs!$C$13=2,D69,C69)</f>
        <v>264975.951403434</v>
      </c>
      <c r="H69" s="10" t="n">
        <f aca="false">G69*Inputs!$C$6</f>
        <v>93796.7965656288</v>
      </c>
      <c r="I69" s="15" t="n">
        <f aca="false">IF(B69&lt;Inputs!$C$9,Inputs!$C$9,EOMONTH(Inputs!$C$9,3*(INT(((YEAR(B69)-YEAR(Inputs!$C$9))*12+MONTH(B69)-MONTH(Inputs!$C$9))/3)+1)))</f>
        <v>48213</v>
      </c>
    </row>
    <row r="70" customFormat="false" ht="15" hidden="false" customHeight="false" outlineLevel="0" collapsed="false">
      <c r="B70" s="13" t="n">
        <f aca="false">EOMONTH(B69,1)</f>
        <v>48182</v>
      </c>
      <c r="C70" s="6" t="n">
        <f aca="false">SUMIFS('SSP CF'!$E$6:$E$77,'SSP CF'!$B$6:$B$77,B70)</f>
        <v>20166108.4647037</v>
      </c>
      <c r="D70" s="6" t="n">
        <f aca="false">SUMIFS('KKR CF'!$C$6:$C$400,'KKR CF'!$B$6:$B$400,B70)</f>
        <v>25488710.6161421</v>
      </c>
      <c r="E70" s="6" t="n">
        <f aca="false">D70-C70</f>
        <v>5322602.1514384</v>
      </c>
      <c r="F70" s="6" t="n">
        <f aca="false">SUM(E$6:E70)</f>
        <v>5923865.63212521</v>
      </c>
      <c r="G70" s="6" t="n">
        <f aca="false">IF(Inputs!$C$13=2,D70,C70)</f>
        <v>20166108.4647037</v>
      </c>
      <c r="H70" s="6" t="n">
        <f aca="false">G70*Inputs!$C$6</f>
        <v>7138445.44444837</v>
      </c>
      <c r="I70" s="13" t="n">
        <f aca="false">IF(B70&lt;Inputs!$C$9,Inputs!$C$9,EOMONTH(Inputs!$C$9,3*(INT(((YEAR(B70)-YEAR(Inputs!$C$9))*12+MONTH(B70)-MONTH(Inputs!$C$9))/3)+1)))</f>
        <v>48213</v>
      </c>
    </row>
    <row r="71" customFormat="false" ht="15" hidden="false" customHeight="false" outlineLevel="0" collapsed="false">
      <c r="B71" s="15" t="n">
        <f aca="false">EOMONTH(B70,1)</f>
        <v>48213</v>
      </c>
      <c r="C71" s="10" t="n">
        <f aca="false">SUMIFS('SSP CF'!$E$6:$E$77,'SSP CF'!$B$6:$B$77,B71)</f>
        <v>145594.432682809</v>
      </c>
      <c r="D71" s="10" t="n">
        <f aca="false">SUMIFS('KKR CF'!$C$6:$C$400,'KKR CF'!$B$6:$B$400,B71)</f>
        <v>157606.25625</v>
      </c>
      <c r="E71" s="10" t="n">
        <f aca="false">D71-C71</f>
        <v>12011.823567191</v>
      </c>
      <c r="F71" s="10" t="n">
        <f aca="false">SUM(E$6:E71)</f>
        <v>5935877.4556924</v>
      </c>
      <c r="G71" s="10" t="n">
        <f aca="false">IF(Inputs!$C$13=2,D71,C71)</f>
        <v>145594.432682809</v>
      </c>
      <c r="H71" s="10" t="n">
        <f aca="false">G71*Inputs!$C$6</f>
        <v>51537.8520620743</v>
      </c>
      <c r="I71" s="15" t="n">
        <f aca="false">IF(B71&lt;Inputs!$C$9,Inputs!$C$9,EOMONTH(Inputs!$C$9,3*(INT(((YEAR(B71)-YEAR(Inputs!$C$9))*12+MONTH(B71)-MONTH(Inputs!$C$9))/3)+1)))</f>
        <v>48304</v>
      </c>
    </row>
    <row r="72" customFormat="false" ht="15" hidden="false" customHeight="false" outlineLevel="0" collapsed="false">
      <c r="B72" s="13" t="n">
        <f aca="false">EOMONTH(B71,1)</f>
        <v>48244</v>
      </c>
      <c r="C72" s="6" t="n">
        <f aca="false">SUMIFS('SSP CF'!$E$6:$E$77,'SSP CF'!$B$6:$B$77,B72)</f>
        <v>7410643.4513646</v>
      </c>
      <c r="D72" s="6" t="n">
        <f aca="false">SUMIFS('KKR CF'!$C$6:$C$400,'KKR CF'!$B$6:$B$400,B72)</f>
        <v>7423055.6690507</v>
      </c>
      <c r="E72" s="6" t="n">
        <f aca="false">D72-C72</f>
        <v>12412.2176860981</v>
      </c>
      <c r="F72" s="6" t="n">
        <f aca="false">SUM(E$6:E72)</f>
        <v>5948289.6733785</v>
      </c>
      <c r="G72" s="6" t="n">
        <f aca="false">IF(Inputs!$C$13=2,D72,C72)</f>
        <v>7410643.4513646</v>
      </c>
      <c r="H72" s="6" t="n">
        <f aca="false">G72*Inputs!$C$6</f>
        <v>2623236.6090074</v>
      </c>
      <c r="I72" s="13" t="n">
        <f aca="false">IF(B72&lt;Inputs!$C$9,Inputs!$C$9,EOMONTH(Inputs!$C$9,3*(INT(((YEAR(B72)-YEAR(Inputs!$C$9))*12+MONTH(B72)-MONTH(Inputs!$C$9))/3)+1)))</f>
        <v>48304</v>
      </c>
    </row>
    <row r="73" customFormat="false" ht="15" hidden="false" customHeight="false" outlineLevel="0" collapsed="false">
      <c r="B73" s="15" t="n">
        <f aca="false">EOMONTH(B72,1)</f>
        <v>48273</v>
      </c>
      <c r="C73" s="10" t="n">
        <f aca="false">SUMIFS('SSP CF'!$E$6:$E$77,'SSP CF'!$B$6:$B$77,B73)</f>
        <v>34344512.9533301</v>
      </c>
      <c r="D73" s="10" t="n">
        <f aca="false">SUMIFS('KKR CF'!$C$6:$C$400,'KKR CF'!$B$6:$B$400,B73)</f>
        <v>34356524.7768973</v>
      </c>
      <c r="E73" s="10" t="n">
        <f aca="false">D73-C73</f>
        <v>12011.8235672414</v>
      </c>
      <c r="F73" s="10" t="n">
        <f aca="false">SUM(E$6:E73)</f>
        <v>5960301.49694574</v>
      </c>
      <c r="G73" s="10" t="n">
        <f aca="false">IF(Inputs!$C$13=2,D73,C73)</f>
        <v>34344512.9533301</v>
      </c>
      <c r="H73" s="10" t="n">
        <f aca="false">G73*Inputs!$C$6</f>
        <v>12157349.66727</v>
      </c>
      <c r="I73" s="15" t="n">
        <f aca="false">IF(B73&lt;Inputs!$C$9,Inputs!$C$9,EOMONTH(Inputs!$C$9,3*(INT(((YEAR(B73)-YEAR(Inputs!$C$9))*12+MONTH(B73)-MONTH(Inputs!$C$9))/3)+1)))</f>
        <v>48304</v>
      </c>
    </row>
    <row r="74" customFormat="false" ht="15" hidden="false" customHeight="false" outlineLevel="0" collapsed="false">
      <c r="B74" s="13" t="n">
        <f aca="false">EOMONTH(B73,1)</f>
        <v>48304</v>
      </c>
      <c r="C74" s="6" t="n">
        <f aca="false">SUMIFS('SSP CF'!$E$6:$E$77,'SSP CF'!$B$6:$B$77,B74)</f>
        <v>146521.528307809</v>
      </c>
      <c r="D74" s="6" t="n">
        <f aca="false">SUMIFS('KKR CF'!$C$6:$C$400,'KKR CF'!$B$6:$B$400,B74)</f>
        <v>158533.351875</v>
      </c>
      <c r="E74" s="6" t="n">
        <f aca="false">D74-C74</f>
        <v>12011.823567191</v>
      </c>
      <c r="F74" s="6" t="n">
        <f aca="false">SUM(E$6:E74)</f>
        <v>5972313.32051293</v>
      </c>
      <c r="G74" s="6" t="n">
        <f aca="false">IF(Inputs!$C$13=2,D74,C74)</f>
        <v>146521.528307809</v>
      </c>
      <c r="H74" s="6" t="n">
        <f aca="false">G74*Inputs!$C$6</f>
        <v>51866.027503183</v>
      </c>
      <c r="I74" s="13" t="n">
        <f aca="false">IF(B74&lt;Inputs!$C$9,Inputs!$C$9,EOMONTH(Inputs!$C$9,3*(INT(((YEAR(B74)-YEAR(Inputs!$C$9))*12+MONTH(B74)-MONTH(Inputs!$C$9))/3)+1)))</f>
        <v>48395</v>
      </c>
    </row>
    <row r="75" customFormat="false" ht="15" hidden="false" customHeight="false" outlineLevel="0" collapsed="false">
      <c r="B75" s="15" t="n">
        <f aca="false">EOMONTH(B74,1)</f>
        <v>48334</v>
      </c>
      <c r="C75" s="10" t="n">
        <f aca="false">SUMIFS('SSP CF'!$E$6:$E$77,'SSP CF'!$B$6:$B$77,B75)</f>
        <v>150447.580438902</v>
      </c>
      <c r="D75" s="10" t="n">
        <f aca="false">SUMIFS('KKR CF'!$C$6:$C$400,'KKR CF'!$B$6:$B$400,B75)</f>
        <v>162859.798125</v>
      </c>
      <c r="E75" s="10" t="n">
        <f aca="false">D75-C75</f>
        <v>12412.217686098</v>
      </c>
      <c r="F75" s="10" t="n">
        <f aca="false">SUM(E$6:E75)</f>
        <v>5984725.53819903</v>
      </c>
      <c r="G75" s="10" t="n">
        <f aca="false">IF(Inputs!$C$13=2,D75,C75)</f>
        <v>150447.580438902</v>
      </c>
      <c r="H75" s="10" t="n">
        <f aca="false">G75*Inputs!$C$6</f>
        <v>53255.7804641432</v>
      </c>
      <c r="I75" s="15" t="n">
        <f aca="false">IF(B75&lt;Inputs!$C$9,Inputs!$C$9,EOMONTH(Inputs!$C$9,3*(INT(((YEAR(B75)-YEAR(Inputs!$C$9))*12+MONTH(B75)-MONTH(Inputs!$C$9))/3)+1)))</f>
        <v>48395</v>
      </c>
    </row>
    <row r="76" customFormat="false" ht="15" hidden="false" customHeight="false" outlineLevel="0" collapsed="false">
      <c r="B76" s="13" t="n">
        <f aca="false">EOMONTH(B75,1)</f>
        <v>48365</v>
      </c>
      <c r="C76" s="6" t="n">
        <f aca="false">SUMIFS('SSP CF'!$E$6:$E$77,'SSP CF'!$B$6:$B$77,B76)</f>
        <v>35120403.9930579</v>
      </c>
      <c r="D76" s="6" t="n">
        <f aca="false">SUMIFS('KKR CF'!$C$6:$C$400,'KKR CF'!$B$6:$B$400,B76)</f>
        <v>38047606.25625</v>
      </c>
      <c r="E76" s="6" t="n">
        <f aca="false">D76-C76</f>
        <v>2927202.26319206</v>
      </c>
      <c r="F76" s="6" t="n">
        <f aca="false">SUM(E$6:E76)</f>
        <v>8911927.80139109</v>
      </c>
      <c r="G76" s="6" t="n">
        <f aca="false">IF(Inputs!$C$13=2,D76,C76)</f>
        <v>35120403.9930579</v>
      </c>
      <c r="H76" s="6" t="n">
        <f aca="false">G76*Inputs!$C$6</f>
        <v>12432001.361603</v>
      </c>
      <c r="I76" s="13" t="n">
        <f aca="false">IF(B76&lt;Inputs!$C$9,Inputs!$C$9,EOMONTH(Inputs!$C$9,3*(INT(((YEAR(B76)-YEAR(Inputs!$C$9))*12+MONTH(B76)-MONTH(Inputs!$C$9))/3)+1)))</f>
        <v>48395</v>
      </c>
    </row>
    <row r="77" customFormat="false" ht="15" hidden="false" customHeight="false" outlineLevel="0" collapsed="false">
      <c r="B77" s="15" t="n">
        <f aca="false">EOMONTH(B76,1)</f>
        <v>48395</v>
      </c>
      <c r="C77" s="10" t="n">
        <f aca="false">SUMIFS('SSP CF'!$E$6:$E$77,'SSP CF'!$B$6:$B$77,B77)</f>
        <v>0</v>
      </c>
      <c r="D77" s="10" t="n">
        <f aca="false">SUMIFS('KKR CF'!$C$6:$C$400,'KKR CF'!$B$6:$B$400,B77)</f>
        <v>0</v>
      </c>
      <c r="E77" s="10" t="n">
        <f aca="false">D77-C77</f>
        <v>0</v>
      </c>
      <c r="F77" s="10" t="n">
        <f aca="false">SUM(E$6:E77)</f>
        <v>8911927.80139109</v>
      </c>
      <c r="G77" s="10" t="n">
        <f aca="false">IF(Inputs!$C$13=2,D77,C77)</f>
        <v>0</v>
      </c>
      <c r="H77" s="10" t="n">
        <f aca="false">G77*Inputs!$C$6</f>
        <v>0</v>
      </c>
      <c r="I77" s="15" t="n">
        <f aca="false">IF(B77&lt;Inputs!$C$9,Inputs!$C$9,EOMONTH(Inputs!$C$9,3*(INT(((YEAR(B77)-YEAR(Inputs!$C$9))*12+MONTH(B77)-MONTH(Inputs!$C$9))/3)+1)))</f>
        <v>48487</v>
      </c>
    </row>
    <row r="78" customFormat="false" ht="15" hidden="false" customHeight="false" outlineLevel="0" collapsed="false">
      <c r="B78" s="13" t="n">
        <f aca="false">EOMONTH(B77,1)</f>
        <v>48426</v>
      </c>
      <c r="C78" s="6" t="n">
        <f aca="false">SUMIFS('SSP CF'!$E$6:$E$77,'SSP CF'!$B$6:$B$77,B78)</f>
        <v>0</v>
      </c>
      <c r="D78" s="6" t="n">
        <f aca="false">SUMIFS('KKR CF'!$C$6:$C$400,'KKR CF'!$B$6:$B$400,B78)</f>
        <v>0</v>
      </c>
      <c r="E78" s="6" t="n">
        <f aca="false">D78-C78</f>
        <v>0</v>
      </c>
      <c r="F78" s="6" t="n">
        <f aca="false">SUM(E$6:E78)</f>
        <v>8911927.80139109</v>
      </c>
      <c r="G78" s="6" t="n">
        <f aca="false">IF(Inputs!$C$13=2,D78,C78)</f>
        <v>0</v>
      </c>
      <c r="H78" s="6" t="n">
        <f aca="false">G78*Inputs!$C$6</f>
        <v>0</v>
      </c>
      <c r="I78" s="13" t="n">
        <f aca="false">IF(B78&lt;Inputs!$C$9,Inputs!$C$9,EOMONTH(Inputs!$C$9,3*(INT(((YEAR(B78)-YEAR(Inputs!$C$9))*12+MONTH(B78)-MONTH(Inputs!$C$9))/3)+1)))</f>
        <v>48487</v>
      </c>
    </row>
    <row r="79" customFormat="false" ht="15" hidden="false" customHeight="false" outlineLevel="0" collapsed="false">
      <c r="B79" s="15" t="n">
        <f aca="false">EOMONTH(B78,1)</f>
        <v>48457</v>
      </c>
      <c r="C79" s="10" t="n">
        <f aca="false">SUMIFS('SSP CF'!$E$6:$E$77,'SSP CF'!$B$6:$B$77,B79)</f>
        <v>0</v>
      </c>
      <c r="D79" s="10" t="n">
        <f aca="false">SUMIFS('KKR CF'!$C$6:$C$400,'KKR CF'!$B$6:$B$400,B79)</f>
        <v>0</v>
      </c>
      <c r="E79" s="10" t="n">
        <f aca="false">D79-C79</f>
        <v>0</v>
      </c>
      <c r="F79" s="10" t="n">
        <f aca="false">SUM(E$6:E79)</f>
        <v>8911927.80139109</v>
      </c>
      <c r="G79" s="10" t="n">
        <f aca="false">IF(Inputs!$C$13=2,D79,C79)</f>
        <v>0</v>
      </c>
      <c r="H79" s="10" t="n">
        <f aca="false">G79*Inputs!$C$6</f>
        <v>0</v>
      </c>
      <c r="I79" s="15" t="n">
        <f aca="false">IF(B79&lt;Inputs!$C$9,Inputs!$C$9,EOMONTH(Inputs!$C$9,3*(INT(((YEAR(B79)-YEAR(Inputs!$C$9))*12+MONTH(B79)-MONTH(Inputs!$C$9))/3)+1)))</f>
        <v>48487</v>
      </c>
    </row>
    <row r="80" customFormat="false" ht="15" hidden="false" customHeight="false" outlineLevel="0" collapsed="false">
      <c r="B80" s="13" t="n">
        <f aca="false">EOMONTH(B79,1)</f>
        <v>48487</v>
      </c>
      <c r="C80" s="6" t="n">
        <f aca="false">SUMIFS('SSP CF'!$E$6:$E$77,'SSP CF'!$B$6:$B$77,B80)</f>
        <v>0</v>
      </c>
      <c r="D80" s="6" t="n">
        <f aca="false">SUMIFS('KKR CF'!$C$6:$C$400,'KKR CF'!$B$6:$B$400,B80)</f>
        <v>0</v>
      </c>
      <c r="E80" s="6" t="n">
        <f aca="false">D80-C80</f>
        <v>0</v>
      </c>
      <c r="F80" s="6" t="n">
        <f aca="false">SUM(E$6:E80)</f>
        <v>8911927.80139109</v>
      </c>
      <c r="G80" s="6" t="n">
        <f aca="false">IF(Inputs!$C$13=2,D80,C80)</f>
        <v>0</v>
      </c>
      <c r="H80" s="6" t="n">
        <f aca="false">G80*Inputs!$C$6</f>
        <v>0</v>
      </c>
      <c r="I80" s="13" t="n">
        <f aca="false">IF(B80&lt;Inputs!$C$9,Inputs!$C$9,EOMONTH(Inputs!$C$9,3*(INT(((YEAR(B80)-YEAR(Inputs!$C$9))*12+MONTH(B80)-MONTH(Inputs!$C$9))/3)+1)))</f>
        <v>48579</v>
      </c>
    </row>
    <row r="81" customFormat="false" ht="15" hidden="false" customHeight="false" outlineLevel="0" collapsed="false">
      <c r="B81" s="15" t="n">
        <f aca="false">EOMONTH(B80,1)</f>
        <v>48518</v>
      </c>
      <c r="C81" s="10" t="n">
        <f aca="false">SUMIFS('SSP CF'!$E$6:$E$77,'SSP CF'!$B$6:$B$77,B81)</f>
        <v>0</v>
      </c>
      <c r="D81" s="10" t="n">
        <f aca="false">SUMIFS('KKR CF'!$C$6:$C$400,'KKR CF'!$B$6:$B$400,B81)</f>
        <v>0</v>
      </c>
      <c r="E81" s="10" t="n">
        <f aca="false">D81-C81</f>
        <v>0</v>
      </c>
      <c r="F81" s="10" t="n">
        <f aca="false">SUM(E$6:E81)</f>
        <v>8911927.80139109</v>
      </c>
      <c r="G81" s="10" t="n">
        <f aca="false">IF(Inputs!$C$13=2,D81,C81)</f>
        <v>0</v>
      </c>
      <c r="H81" s="10" t="n">
        <f aca="false">G81*Inputs!$C$6</f>
        <v>0</v>
      </c>
      <c r="I81" s="15" t="n">
        <f aca="false">IF(B81&lt;Inputs!$C$9,Inputs!$C$9,EOMONTH(Inputs!$C$9,3*(INT(((YEAR(B81)-YEAR(Inputs!$C$9))*12+MONTH(B81)-MONTH(Inputs!$C$9))/3)+1)))</f>
        <v>48579</v>
      </c>
    </row>
    <row r="82" customFormat="false" ht="15" hidden="false" customHeight="false" outlineLevel="0" collapsed="false">
      <c r="B82" s="13" t="n">
        <f aca="false">EOMONTH(B81,1)</f>
        <v>48548</v>
      </c>
      <c r="C82" s="6" t="n">
        <f aca="false">SUMIFS('SSP CF'!$E$6:$E$77,'SSP CF'!$B$6:$B$77,B82)</f>
        <v>0</v>
      </c>
      <c r="D82" s="6" t="n">
        <f aca="false">SUMIFS('KKR CF'!$C$6:$C$400,'KKR CF'!$B$6:$B$400,B82)</f>
        <v>0</v>
      </c>
      <c r="E82" s="6" t="n">
        <f aca="false">D82-C82</f>
        <v>0</v>
      </c>
      <c r="F82" s="6" t="n">
        <f aca="false">SUM(E$6:E82)</f>
        <v>8911927.80139109</v>
      </c>
      <c r="G82" s="6" t="n">
        <f aca="false">IF(Inputs!$C$13=2,D82,C82)</f>
        <v>0</v>
      </c>
      <c r="H82" s="6" t="n">
        <f aca="false">G82*Inputs!$C$6</f>
        <v>0</v>
      </c>
      <c r="I82" s="13" t="n">
        <f aca="false">IF(B82&lt;Inputs!$C$9,Inputs!$C$9,EOMONTH(Inputs!$C$9,3*(INT(((YEAR(B82)-YEAR(Inputs!$C$9))*12+MONTH(B82)-MONTH(Inputs!$C$9))/3)+1)))</f>
        <v>48579</v>
      </c>
    </row>
    <row r="83" customFormat="false" ht="15" hidden="false" customHeight="false" outlineLevel="0" collapsed="false">
      <c r="B83" s="15" t="n">
        <f aca="false">EOMONTH(B82,1)</f>
        <v>48579</v>
      </c>
      <c r="C83" s="10" t="n">
        <f aca="false">SUMIFS('SSP CF'!$E$6:$E$77,'SSP CF'!$B$6:$B$77,B83)</f>
        <v>0</v>
      </c>
      <c r="D83" s="10" t="n">
        <f aca="false">SUMIFS('KKR CF'!$C$6:$C$400,'KKR CF'!$B$6:$B$400,B83)</f>
        <v>0</v>
      </c>
      <c r="E83" s="10" t="n">
        <f aca="false">D83-C83</f>
        <v>0</v>
      </c>
      <c r="F83" s="10" t="n">
        <f aca="false">SUM(E$6:E83)</f>
        <v>8911927.80139109</v>
      </c>
      <c r="G83" s="10" t="n">
        <f aca="false">IF(Inputs!$C$13=2,D83,C83)</f>
        <v>0</v>
      </c>
      <c r="H83" s="10" t="n">
        <f aca="false">G83*Inputs!$C$6</f>
        <v>0</v>
      </c>
      <c r="I83" s="15" t="n">
        <f aca="false">IF(B83&lt;Inputs!$C$9,Inputs!$C$9,EOMONTH(Inputs!$C$9,3*(INT(((YEAR(B83)-YEAR(Inputs!$C$9))*12+MONTH(B83)-MONTH(Inputs!$C$9))/3)+1)))</f>
        <v>48669</v>
      </c>
    </row>
    <row r="84" customFormat="false" ht="15" hidden="false" customHeight="false" outlineLevel="0" collapsed="false">
      <c r="B84" s="4" t="s">
        <v>15</v>
      </c>
      <c r="C84" s="22" t="n">
        <f aca="false">SUM(C6:C83)</f>
        <v>772143058.911707</v>
      </c>
      <c r="D84" s="22" t="n">
        <f aca="false">SUM(D6:D83)</f>
        <v>781054986.713098</v>
      </c>
      <c r="E84" s="22" t="n">
        <f aca="false">SUM(E6:E83)</f>
        <v>8911927.80139109</v>
      </c>
      <c r="F84" s="4"/>
      <c r="G84" s="22" t="n">
        <f aca="false">SUM(G6:G83)</f>
        <v>772143058.911707</v>
      </c>
      <c r="H84" s="22" t="n">
        <f aca="false">SUM(H6:H83)</f>
        <v>273324975.465547</v>
      </c>
      <c r="I8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2026-10-11T19:34:26Z</dcterms:created>
  <dc:creator>openpyxl</dc:creator>
  <dc:description/>
  <dc:language>en-US</dc:language>
  <cp:lastModifiedBy/>
  <dcterms:modified xsi:type="dcterms:W3CDTF">2026-10-11T19:34:27Z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