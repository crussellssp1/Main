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13 Royalton Changes" sheetId="1" state="visible" r:id="rId1"/>
    <sheet xmlns:r="http://schemas.openxmlformats.org/officeDocument/2006/relationships" name="Royalton Values Confirm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2" customWidth="1" min="4" max="4"/>
    <col width="22" customWidth="1" min="5" max="5"/>
    <col width="18" customWidth="1" min="6" max="6"/>
    <col width="80" customWidth="1" min="7" max="7"/>
  </cols>
  <sheetData>
    <row r="1">
      <c r="A1" s="1" t="inlineStr">
        <is>
          <t>Cell</t>
        </is>
      </c>
      <c r="B1" s="1" t="inlineStr">
        <is>
          <t>Field</t>
        </is>
      </c>
      <c r="C1" s="1" t="inlineStr">
        <is>
          <t>Deal</t>
        </is>
      </c>
      <c r="D1" s="1" t="inlineStr">
        <is>
          <t>v012 Value</t>
        </is>
      </c>
      <c r="E1" s="1" t="inlineStr">
        <is>
          <t>v013 Entry</t>
        </is>
      </c>
      <c r="F1" s="1" t="inlineStr">
        <is>
          <t>v013 Result</t>
        </is>
      </c>
      <c r="G1" s="1" t="inlineStr">
        <is>
          <t>Source</t>
        </is>
      </c>
    </row>
    <row r="2">
      <c r="A2" s="2" t="inlineStr">
        <is>
          <t>H20</t>
        </is>
      </c>
      <c r="B2" s="2" t="inlineStr">
        <is>
          <t>SSP Commitment Amount</t>
        </is>
      </c>
      <c r="C2" s="2" t="inlineStr">
        <is>
          <t>Project Royalton Whole Loan</t>
        </is>
      </c>
      <c r="D2" s="2" t="n">
        <v>34930000</v>
      </c>
      <c r="E2" s="2" t="n">
        <v>35000000</v>
      </c>
      <c r="F2" s="2" t="n">
        <v>35000000</v>
      </c>
      <c r="G2" s="2" t="inlineStr">
        <is>
          <t>Account Splits.pdf (Box 2428383498023), post-Apollo allocations, Madrone: $21.0M A-Note + $14.0M B-Note vertical strip</t>
        </is>
      </c>
    </row>
    <row r="3">
      <c r="A3" s="3" t="inlineStr">
        <is>
          <t>V21</t>
        </is>
      </c>
      <c r="B3" s="3" t="inlineStr">
        <is>
          <t>Most Senior Position</t>
        </is>
      </c>
      <c r="C3" s="3" t="inlineStr">
        <is>
          <t>Project Royalton Levered</t>
        </is>
      </c>
      <c r="D3" s="3" t="inlineStr">
        <is>
          <t>Senior Mortgage (Apollo A-Note)</t>
        </is>
      </c>
      <c r="E3" s="3" t="inlineStr">
        <is>
          <t>Senior Mortgage</t>
        </is>
      </c>
      <c r="F3" s="3" t="inlineStr">
        <is>
          <t>Senior Mortgage</t>
        </is>
      </c>
      <c r="G3" s="3" t="inlineStr">
        <is>
          <t>A-Note (Mortgage A + Senior Mezz): Apollo $112.2M and Madrone $21.0M pari passu (Apollo Trade Confirm 1.31.26 Execution (Box 2121659437842) fn.1; Account Splits.pdf (Box 2428383498023))</t>
        </is>
      </c>
    </row>
    <row r="4">
      <c r="A4" s="2" t="inlineStr">
        <is>
          <t>W21</t>
        </is>
      </c>
      <c r="B4" s="2" t="inlineStr">
        <is>
          <t>Most Senior Commitment</t>
        </is>
      </c>
      <c r="C4" s="2" t="inlineStr">
        <is>
          <t>Project Royalton Levered</t>
        </is>
      </c>
      <c r="D4" s="2" t="n">
        <v>112200000</v>
      </c>
      <c r="E4" s="2" t="n">
        <v>133200000</v>
      </c>
      <c r="F4" s="2" t="n">
        <v>133200000</v>
      </c>
      <c r="G4" s="2" t="inlineStr">
        <is>
          <t>Account Splits.pdf (Box 2428383498023): A-Note $133.2M (Apollo 84.23% / Madrone 15.77%, pari passu)</t>
        </is>
      </c>
    </row>
    <row r="5">
      <c r="A5" s="3" t="inlineStr">
        <is>
          <t>AB21</t>
        </is>
      </c>
      <c r="B5" s="3" t="inlineStr">
        <is>
          <t>Most Senior Spread</t>
        </is>
      </c>
      <c r="C5" s="3" t="inlineStr">
        <is>
          <t>Project Royalton Levered</t>
        </is>
      </c>
      <c r="D5" s="3" t="n">
        <v>0.032</v>
      </c>
      <c r="E5" s="3" t="n">
        <v>0.032</v>
      </c>
      <c r="F5" s="3" t="n">
        <v>0.032</v>
      </c>
      <c r="G5" s="3" t="inlineStr">
        <is>
          <t>Apollo Trade Confirm 1.31.26 Execution (Box 2121659437842); Account Splits.pdf (Box 2428383498023): A-Note SOFR + 3.20%</t>
        </is>
      </c>
    </row>
    <row r="6">
      <c r="A6" s="2" t="inlineStr">
        <is>
          <t>AC21</t>
        </is>
      </c>
      <c r="B6" s="2" t="inlineStr">
        <is>
          <t>2nd Most Senior Position</t>
        </is>
      </c>
      <c r="C6" s="2" t="inlineStr">
        <is>
          <t>Project Royalton Levered</t>
        </is>
      </c>
      <c r="D6" s="2" t="inlineStr">
        <is>
          <t>Senior Mortgage (SSP A-Note)</t>
        </is>
      </c>
      <c r="E6" s="2" t="inlineStr">
        <is>
          <t>B-Note</t>
        </is>
      </c>
      <c r="F6" s="2" t="inlineStr">
        <is>
          <t>B-Note</t>
        </is>
      </c>
      <c r="G6" s="2" t="inlineStr">
        <is>
          <t>Project Royalton Valcom 2Q2026 v2 (Box 2246578576010): Sixth Street exposure $74.8M B-Note (Beacon/TAO) with Riller 99.5% / 0.5%</t>
        </is>
      </c>
    </row>
    <row r="7">
      <c r="A7" s="3" t="inlineStr">
        <is>
          <t>AD21</t>
        </is>
      </c>
      <c r="B7" s="3" t="inlineStr">
        <is>
          <t>2nd Most Senior Commitment</t>
        </is>
      </c>
      <c r="C7" s="3" t="inlineStr">
        <is>
          <t>Project Royalton Levered</t>
        </is>
      </c>
      <c r="D7" s="3" t="n">
        <v>21000000</v>
      </c>
      <c r="E7" s="3" t="n">
        <v>88800000</v>
      </c>
      <c r="F7" s="3" t="n">
        <v>88800000</v>
      </c>
      <c r="G7" s="3" t="inlineStr">
        <is>
          <t>Account Splits.pdf (Box 2428383498023): B-Note $88.8M (Mortgage B + Junior Mezz)</t>
        </is>
      </c>
    </row>
    <row r="8">
      <c r="A8" s="2" t="inlineStr">
        <is>
          <t>AI21</t>
        </is>
      </c>
      <c r="B8" s="2" t="inlineStr">
        <is>
          <t>2nd Most Senior Spread</t>
        </is>
      </c>
      <c r="C8" s="2" t="inlineStr">
        <is>
          <t>Project Royalton Levered</t>
        </is>
      </c>
      <c r="D8" s="2" t="n">
        <v>0.032</v>
      </c>
      <c r="E8" s="2" t="n">
        <v>0.142</v>
      </c>
      <c r="F8" s="2" t="n">
        <v>0.142</v>
      </c>
      <c r="G8" s="2" t="inlineStr">
        <is>
          <t>Account Splits.pdf (Box 2428383498023); Valcom 2Q26: B-Note SOFR + 14.20%</t>
        </is>
      </c>
    </row>
    <row r="9">
      <c r="A9" s="3" t="inlineStr">
        <is>
          <t>AJ21</t>
        </is>
      </c>
      <c r="B9" s="3" t="inlineStr">
        <is>
          <t>3rd Most Senior Position</t>
        </is>
      </c>
      <c r="C9" s="3" t="inlineStr">
        <is>
          <t>Project Royalton Levered</t>
        </is>
      </c>
      <c r="D9" s="3" t="inlineStr">
        <is>
          <t>B-Note</t>
        </is>
      </c>
      <c r="E9" s="3" t="inlineStr">
        <is>
          <t>Common Equity</t>
        </is>
      </c>
      <c r="F9" s="3" t="inlineStr">
        <is>
          <t>Common Equity</t>
        </is>
      </c>
      <c r="G9" s="3" t="inlineStr">
        <is>
          <t>Common equity = appraised value less debt</t>
        </is>
      </c>
    </row>
    <row r="10">
      <c r="A10" s="2" t="inlineStr">
        <is>
          <t>AK21</t>
        </is>
      </c>
      <c r="B10" s="2" t="inlineStr">
        <is>
          <t>3rd Most Senior Commitment</t>
        </is>
      </c>
      <c r="C10" s="2" t="inlineStr">
        <is>
          <t>Project Royalton Levered</t>
        </is>
      </c>
      <c r="D10" s="2" t="n">
        <v>88800000</v>
      </c>
      <c r="E10" s="2">
        <f>T21-W21-AD21</f>
        <v/>
      </c>
      <c r="F10" s="2" t="n">
        <v>166791593.695272</v>
      </c>
      <c r="G10" s="2" t="inlineStr">
        <is>
          <t>Common equity = appraised value less debt</t>
        </is>
      </c>
    </row>
    <row r="11">
      <c r="A11" s="3" t="inlineStr">
        <is>
          <t>AP21</t>
        </is>
      </c>
      <c r="B11" s="3" t="inlineStr">
        <is>
          <t>3rd Most Senior Spread</t>
        </is>
      </c>
      <c r="C11" s="3" t="inlineStr">
        <is>
          <t>Project Royalton Levered</t>
        </is>
      </c>
      <c r="D11" s="3" t="n">
        <v>0.142</v>
      </c>
      <c r="E11" s="3" t="inlineStr">
        <is>
          <t>N/A</t>
        </is>
      </c>
      <c r="F11" s="3" t="inlineStr">
        <is>
          <t>N/A</t>
        </is>
      </c>
      <c r="G11" s="3" t="inlineStr">
        <is>
          <t>Common equity, no spread</t>
        </is>
      </c>
    </row>
    <row r="12">
      <c r="A12" s="2" t="inlineStr">
        <is>
          <t>O21</t>
        </is>
      </c>
      <c r="B12" s="2" t="inlineStr">
        <is>
          <t>SSP Last Dollar Exposure</t>
        </is>
      </c>
      <c r="C12" s="2" t="inlineStr">
        <is>
          <t>Project Royalton Levered</t>
        </is>
      </c>
      <c r="D12" s="2">
        <f>W21+AD21+AK21</f>
        <v/>
      </c>
      <c r="E12" s="2">
        <f>W21+AD21</f>
        <v/>
      </c>
      <c r="F12" s="2" t="n">
        <v>222000000</v>
      </c>
      <c r="G12" s="2" t="inlineStr">
        <is>
          <t>Cumulative stack through end of SSP B-Note</t>
        </is>
      </c>
    </row>
    <row r="13">
      <c r="A13" s="3" t="inlineStr">
        <is>
          <t>AQ21</t>
        </is>
      </c>
      <c r="B13" s="3" t="inlineStr">
        <is>
          <t>4th Most Senior Position</t>
        </is>
      </c>
      <c r="C13" s="3" t="inlineStr">
        <is>
          <t>Project Royalton Levered</t>
        </is>
      </c>
      <c r="D13" s="3" t="inlineStr">
        <is>
          <t>Common Equity</t>
        </is>
      </c>
      <c r="E13" s="3" t="n"/>
      <c r="F13" s="3" t="n"/>
      <c r="G13" s="3" t="inlineStr">
        <is>
          <t>Cleared: 4th layer no longer used (Apollo and Madrone A-Notes are pari passu, one layer)</t>
        </is>
      </c>
    </row>
    <row r="14">
      <c r="A14" s="2" t="inlineStr">
        <is>
          <t>AR21</t>
        </is>
      </c>
      <c r="B14" s="2" t="inlineStr">
        <is>
          <t>4th Most Senior Commitment</t>
        </is>
      </c>
      <c r="C14" s="2" t="inlineStr">
        <is>
          <t>Project Royalton Levered</t>
        </is>
      </c>
      <c r="D14" s="2">
        <f>T21-SUM(W21,AD21,AK21)</f>
        <v/>
      </c>
      <c r="E14" s="2" t="n"/>
      <c r="F14" s="2" t="n"/>
      <c r="G14" s="2" t="inlineStr">
        <is>
          <t>Cleared: 4th layer no longer used (Apollo and Madrone A-Notes are pari passu, one layer)</t>
        </is>
      </c>
    </row>
    <row r="15">
      <c r="A15" s="3" t="inlineStr">
        <is>
          <t>AS21</t>
        </is>
      </c>
      <c r="B15" s="3" t="inlineStr">
        <is>
          <t>4th Most Senior Detachment Point</t>
        </is>
      </c>
      <c r="C15" s="3" t="inlineStr">
        <is>
          <t>Project Royalton Levered</t>
        </is>
      </c>
      <c r="D15" s="3">
        <f>IF(OR(AQ21="",AQ21="N/A"),"N/A",AM21)</f>
        <v/>
      </c>
      <c r="E15" s="3" t="n"/>
      <c r="F15" s="3" t="n"/>
      <c r="G15" s="3" t="inlineStr">
        <is>
          <t>Cleared: 4th layer no longer used (Apollo and Madrone A-Notes are pari passu, one layer)</t>
        </is>
      </c>
    </row>
    <row r="16">
      <c r="A16" s="2" t="inlineStr">
        <is>
          <t>AT21</t>
        </is>
      </c>
      <c r="B16" s="2" t="inlineStr">
        <is>
          <t>4th Most Senior Attachment Point</t>
        </is>
      </c>
      <c r="C16" s="2" t="inlineStr">
        <is>
          <t>Project Royalton Levered</t>
        </is>
      </c>
      <c r="D16" s="2">
        <f>IF(OR(AQ21="",AQ21="N/A",AQ21="Common Equity",AQ21="Builder Deposit / Equity",N($R21)=0),"N/A",SUM($W21,$AD21,$AK21,$AR21)/$R21*100)</f>
        <v/>
      </c>
      <c r="E16" s="2" t="n"/>
      <c r="F16" s="2" t="n"/>
      <c r="G16" s="2" t="inlineStr">
        <is>
          <t>Cleared: 4th layer no longer used (Apollo and Madrone A-Notes are pari passu, one layer)</t>
        </is>
      </c>
    </row>
    <row r="17">
      <c r="A17" s="3" t="inlineStr">
        <is>
          <t>AU21</t>
        </is>
      </c>
      <c r="B17" s="3" t="inlineStr">
        <is>
          <t>4th Most Senior Advance Rate</t>
        </is>
      </c>
      <c r="C17" s="3" t="inlineStr">
        <is>
          <t>Project Royalton Levered</t>
        </is>
      </c>
      <c r="D17" s="3">
        <f>IF(OR(AQ21="",AQ21="N/A",AQ21="Common Equity",AQ21="Builder Deposit / Equity",N($R21)=0),"N/A",SUM($W21,$AD21,$AK21,$AR21)/$R21*100)</f>
        <v/>
      </c>
      <c r="E17" s="3" t="n"/>
      <c r="F17" s="3" t="n"/>
      <c r="G17" s="3" t="inlineStr">
        <is>
          <t>Cleared: 4th layer no longer used (Apollo and Madrone A-Notes are pari passu, one layer)</t>
        </is>
      </c>
    </row>
    <row r="18">
      <c r="A18" s="2" t="inlineStr">
        <is>
          <t>AV21</t>
        </is>
      </c>
      <c r="B18" s="2" t="inlineStr">
        <is>
          <t>4thMost Senior LTV</t>
        </is>
      </c>
      <c r="C18" s="2" t="inlineStr">
        <is>
          <t>Project Royalton Levered</t>
        </is>
      </c>
      <c r="D18" s="2">
        <f>IF(OR(AQ21="",AQ21="N/A",N($T21)=0),"N/A",SUM($W21,$AD21,$AK21,$AR21)/$T21*100)</f>
        <v/>
      </c>
      <c r="E18" s="2" t="n"/>
      <c r="F18" s="2" t="n"/>
      <c r="G18" s="2" t="inlineStr">
        <is>
          <t>Cleared: 4th layer no longer used (Apollo and Madrone A-Notes are pari passu, one layer)</t>
        </is>
      </c>
    </row>
    <row r="19">
      <c r="A19" s="3" t="inlineStr">
        <is>
          <t>AW21</t>
        </is>
      </c>
      <c r="B19" s="3" t="inlineStr">
        <is>
          <t>4th Most Senior Spread</t>
        </is>
      </c>
      <c r="C19" s="3" t="inlineStr">
        <is>
          <t>Project Royalton Levered</t>
        </is>
      </c>
      <c r="D19" s="3" t="inlineStr">
        <is>
          <t>N/A</t>
        </is>
      </c>
      <c r="E19" s="3" t="n"/>
      <c r="F19" s="3" t="n"/>
      <c r="G19" s="3" t="inlineStr">
        <is>
          <t>Cleared: 4th layer no longer used (Apollo and Madrone A-Notes are pari passu, one layer)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90" customWidth="1" min="4" max="4"/>
  </cols>
  <sheetData>
    <row r="1">
      <c r="A1" s="1" t="inlineStr">
        <is>
          <t>Cell</t>
        </is>
      </c>
      <c r="B1" s="1" t="inlineStr">
        <is>
          <t>Row</t>
        </is>
      </c>
      <c r="C1" s="1" t="inlineStr">
        <is>
          <t>Value</t>
        </is>
      </c>
      <c r="D1" s="1" t="inlineStr">
        <is>
          <t>Source</t>
        </is>
      </c>
    </row>
    <row r="2">
      <c r="A2" s="2" t="inlineStr">
        <is>
          <t>I20</t>
        </is>
      </c>
      <c r="B2" s="2" t="inlineStr">
        <is>
          <t>Whole Loan (Madrone)</t>
        </is>
      </c>
      <c r="C2" s="2" t="n">
        <v>19391891.89</v>
      </c>
      <c r="D2" s="2" t="inlineStr">
        <is>
          <t>Account Splits.pdf (Box 2428383498023), Madrone drawn: A $11,635,135.13 + B $7,756,756.76</t>
        </is>
      </c>
    </row>
    <row r="3">
      <c r="A3" s="3" t="inlineStr">
        <is>
          <t>H21</t>
        </is>
      </c>
      <c r="B3" s="3" t="inlineStr">
        <is>
          <t>Levered (Beacon/TAO)</t>
        </is>
      </c>
      <c r="C3" s="3" t="n">
        <v>74800000</v>
      </c>
      <c r="D3" s="3" t="inlineStr">
        <is>
          <t>Account Splits.pdf post-Apollo: Beacon $25.0M + TAO $49.8M (B-Note only)</t>
        </is>
      </c>
    </row>
    <row r="4">
      <c r="A4" s="2" t="inlineStr">
        <is>
          <t>I21</t>
        </is>
      </c>
      <c r="B4" s="2" t="inlineStr">
        <is>
          <t>Levered (Beacon/TAO)</t>
        </is>
      </c>
      <c r="C4" s="2" t="n">
        <v>41443243.24</v>
      </c>
      <c r="D4" s="2" t="inlineStr">
        <is>
          <t>Account Splits.pdf post-Apollo drawn: Beacon $13,851,351.35 + TAO $27,591,891.89</t>
        </is>
      </c>
    </row>
    <row r="5">
      <c r="A5" s="3" t="inlineStr">
        <is>
          <t>K20 / K21</t>
        </is>
      </c>
      <c r="B5" s="3" t="inlineStr">
        <is>
          <t>Both</t>
        </is>
      </c>
      <c r="C5" s="3" t="n">
        <v>0.99</v>
      </c>
      <c r="D5" s="3" t="inlineStr">
        <is>
          <t>46. Royalton - LD - Settlement Statement (Executed) (Box 2156550443690): 1.00% origination fee $2,220,000</t>
        </is>
      </c>
    </row>
    <row r="6">
      <c r="A6" s="2" t="inlineStr">
        <is>
          <t>S20 / S21</t>
        </is>
      </c>
      <c r="B6" s="2" t="inlineStr">
        <is>
          <t>Both</t>
        </is>
      </c>
      <c r="C6" s="2" t="n">
        <v>255399925</v>
      </c>
      <c r="D6" s="2" t="inlineStr">
        <is>
          <t>Project Royalton Valcom 2Q2026 v2 (Box 2246578576010) Sources &amp; Uses: $222.0M loan + $33.4M sponsor equity</t>
        </is>
      </c>
    </row>
    <row r="7">
      <c r="A7" s="3" t="inlineStr">
        <is>
          <t>T20 / T21</t>
        </is>
      </c>
      <c r="B7" s="3" t="inlineStr">
        <is>
          <t>Both</t>
        </is>
      </c>
      <c r="C7" s="3" t="inlineStr">
        <is>
          <t>~388.8M</t>
        </is>
      </c>
      <c r="D7" s="3" t="inlineStr">
        <is>
          <t>LW Hospitality Advisors appraisal, as stabilized $389M ex-ICAP, 2/11/2026 (via Valcom 2Q26; final report Box 2133012241233)</t>
        </is>
      </c>
    </row>
    <row r="8">
      <c r="A8" s="2" t="inlineStr">
        <is>
          <t>U20 / U21</t>
        </is>
      </c>
      <c r="B8" s="2" t="inlineStr">
        <is>
          <t>Both</t>
        </is>
      </c>
      <c r="C8" s="2" t="n">
        <v>287402000</v>
      </c>
      <c r="D8" s="2" t="inlineStr">
        <is>
          <t>Royalton Park Avenue Final IRC 1.23.2026 (Box 2110613596439): 2025 as-stabilized value</t>
        </is>
      </c>
    </row>
    <row r="9">
      <c r="A9" s="3" t="inlineStr">
        <is>
          <t>AB / AI</t>
        </is>
      </c>
      <c r="B9" s="3" t="inlineStr">
        <is>
          <t>Both</t>
        </is>
      </c>
      <c r="C9" s="3" t="inlineStr">
        <is>
          <t>3.20% / 14.20%</t>
        </is>
      </c>
      <c r="D9" s="3" t="inlineStr">
        <is>
          <t>Account Splits.pdf; Apollo Trade Confirm; 1M Term SOFR floor 3.15%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2026-10-21T21:43:00Z</dcterms:created>
  <dcterms:modified xmlns:dcterms="http://purl.org/dc/terms/" xmlns:xsi="http://www.w3.org/2001/XMLSchema-instance" xsi:type="dcterms:W3CDTF">2026-10-21T21:43:00Z</dcterms:modified>
</cp:coreProperties>
</file>